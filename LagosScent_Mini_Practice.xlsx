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800" tabRatio="500" firstSheet="1" activeTab="3"/>
  </bookViews>
  <sheets>
    <sheet name="Instructions" sheetId="1" r:id="rId1"/>
    <sheet name="Raw Data" sheetId="2" r:id="rId2"/>
    <sheet name="PivotTable 1" sheetId="3" r:id="rId3"/>
    <sheet name="PivotTable 2" sheetId="4" r:id="rId4"/>
  </sheets>
  <definedNames>
    <definedName name="_xlnm._FilterDatabase" localSheetId="1" hidden="1">'Raw Data'!$A$1:$J$101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<sst xmlns="http://schemas.openxmlformats.org/spreadsheetml/2006/main" count="778" uniqueCount="206">
  <si>
    <t>LagosScent Perfumes Ltd — Mini Data Cleaning Project</t>
  </si>
  <si>
    <t>About this project</t>
  </si>
  <si>
    <t>The 'Raw Data' tab contains 100 rows of messy sales orders for a fictional Nigerian perfume company. It has the same kinds of problems as a real export from a sales system: inconsistent capitalization, extra spaces, a combined location field, mixed date formats, blank cells, and duplicate rows.</t>
  </si>
  <si>
    <t>Your tasks</t>
  </si>
  <si>
    <t>1. Use TRIM to remove extra leading/trailing/double spaces from Customer Name, Payment Method, and Sales Rep.</t>
  </si>
  <si>
    <t>2. Use PROPER on Customer Name and Sales Rep; use UPPER on Payment Method (or pick your own consistent style).</t>
  </si>
  <si>
    <t>3. Use Text to Columns to split the 'Location' column into separate 'City' and 'State' columns (delimiter: comma).</t>
  </si>
  <si>
    <t>4. Standardize the 'Order Date' column into one consistent date format.</t>
  </si>
  <si>
    <t>5. Use Filters to find and review blank cells in Quantity or Unit Price — decide how to handle them (leave a note on your assumption).</t>
  </si>
  <si>
    <t>6. Use Remove Duplicates to eliminate exact duplicate order rows.</t>
  </si>
  <si>
    <t>7. Add a calculated column: Total Sale = Quantity x Unit Price.</t>
  </si>
  <si>
    <t>8. Build at least one PivotTable — e.g., Total Sales by Product Category, or Total Sales by Sales Rep.</t>
  </si>
  <si>
    <t>9. (Stretch) Build a simple PivotChart from your PivotTable.</t>
  </si>
  <si>
    <t>Tip: work on a copy of the 'Raw Data' sheet so you always have the original messy version to go back to.</t>
  </si>
  <si>
    <t>Order ID</t>
  </si>
  <si>
    <t>Customer Name</t>
  </si>
  <si>
    <t>Location</t>
  </si>
  <si>
    <t>Product</t>
  </si>
  <si>
    <t>Category</t>
  </si>
  <si>
    <t>Quantity</t>
  </si>
  <si>
    <t>Unit Price (NGN)</t>
  </si>
  <si>
    <t>Order Date</t>
  </si>
  <si>
    <t>Payment Method</t>
  </si>
  <si>
    <t>Sales Rep</t>
  </si>
  <si>
    <t>CLEAN NAME</t>
  </si>
  <si>
    <t>CLEAN PAYMENT METHOD</t>
  </si>
  <si>
    <t>CLEAN SALES REP</t>
  </si>
  <si>
    <t>CITY</t>
  </si>
  <si>
    <t>STATE</t>
  </si>
  <si>
    <t>NOTES</t>
  </si>
  <si>
    <t>Total Sale</t>
  </si>
  <si>
    <t>ibrahim eze</t>
  </si>
  <si>
    <t>Abeokuta, Ogun</t>
  </si>
  <si>
    <t>Sandalwood Noir</t>
  </si>
  <si>
    <t>Men's Fragrance</t>
  </si>
  <si>
    <t xml:space="preserve"> bank transfer </t>
  </si>
  <si>
    <t xml:space="preserve">CHINEDU OKOYE  </t>
  </si>
  <si>
    <t>Abeokuta</t>
  </si>
  <si>
    <t xml:space="preserve"> Ogun</t>
  </si>
  <si>
    <t>IBRAHIM YUSUF</t>
  </si>
  <si>
    <t>Abuja, FCT</t>
  </si>
  <si>
    <t>Amber Oud</t>
  </si>
  <si>
    <t>Unisex Fragrance</t>
  </si>
  <si>
    <t>Cash</t>
  </si>
  <si>
    <t xml:space="preserve">tobi adewale </t>
  </si>
  <si>
    <t>Abuja</t>
  </si>
  <si>
    <t xml:space="preserve"> FCT</t>
  </si>
  <si>
    <t>Unit Price missing - excluded from totals</t>
  </si>
  <si>
    <t>segun abubakar</t>
  </si>
  <si>
    <t>Ilorin, Kwara</t>
  </si>
  <si>
    <t>Velvet Rose</t>
  </si>
  <si>
    <t>Women's Fragrance</t>
  </si>
  <si>
    <t>rasheedat bello</t>
  </si>
  <si>
    <t>Ilorin</t>
  </si>
  <si>
    <t xml:space="preserve"> Kwara</t>
  </si>
  <si>
    <t>chidinma balogun</t>
  </si>
  <si>
    <t>Kaduna, Kaduna</t>
  </si>
  <si>
    <t>Aroma Diffuser Set</t>
  </si>
  <si>
    <t>Diffuser</t>
  </si>
  <si>
    <t xml:space="preserve"> CARD</t>
  </si>
  <si>
    <t>Kaduna</t>
  </si>
  <si>
    <t xml:space="preserve"> Kaduna</t>
  </si>
  <si>
    <t>Quantity missing - excluded from totals</t>
  </si>
  <si>
    <t>amaka musa</t>
  </si>
  <si>
    <t>Ibadan, Oyo</t>
  </si>
  <si>
    <t>Fresh Linen Body Spray</t>
  </si>
  <si>
    <t>Body Spray</t>
  </si>
  <si>
    <t xml:space="preserve">card </t>
  </si>
  <si>
    <t>TOBI ADEWALE</t>
  </si>
  <si>
    <t>Ibadan</t>
  </si>
  <si>
    <t xml:space="preserve"> Oyo</t>
  </si>
  <si>
    <t xml:space="preserve">  Kemi   Balogun </t>
  </si>
  <si>
    <t>Ocean Mist Body Spray</t>
  </si>
  <si>
    <t xml:space="preserve">pos </t>
  </si>
  <si>
    <t xml:space="preserve">  Kemi   Eze </t>
  </si>
  <si>
    <t>Jasmine Whisper</t>
  </si>
  <si>
    <t xml:space="preserve">  POS</t>
  </si>
  <si>
    <t xml:space="preserve">  Ibrahim   Eze </t>
  </si>
  <si>
    <t>Ebony Wood</t>
  </si>
  <si>
    <t xml:space="preserve"> Tobi Adewale</t>
  </si>
  <si>
    <t>FEMI ABUBAKAR</t>
  </si>
  <si>
    <t>Lekki, Lagos</t>
  </si>
  <si>
    <t xml:space="preserve"> chinedu okoye</t>
  </si>
  <si>
    <t>Lekki</t>
  </si>
  <si>
    <t xml:space="preserve"> Lagos</t>
  </si>
  <si>
    <t xml:space="preserve">  Ngozi   Adeleke </t>
  </si>
  <si>
    <t>Chinedu Okoye</t>
  </si>
  <si>
    <t>ngozi chukwu</t>
  </si>
  <si>
    <t>Enugu, Enugu</t>
  </si>
  <si>
    <t xml:space="preserve"> Cash</t>
  </si>
  <si>
    <t>Rasheedat Bello</t>
  </si>
  <si>
    <t>Enugu</t>
  </si>
  <si>
    <t xml:space="preserve"> Enugu</t>
  </si>
  <si>
    <t>tunde abubakar</t>
  </si>
  <si>
    <t>Lagos, Lagos</t>
  </si>
  <si>
    <t>POS</t>
  </si>
  <si>
    <t>Lagos</t>
  </si>
  <si>
    <t>CHIDINMA OBI</t>
  </si>
  <si>
    <t>Uyo, Akwa Ibom</t>
  </si>
  <si>
    <t>Vanilla Dream</t>
  </si>
  <si>
    <t>Uyo</t>
  </si>
  <si>
    <t xml:space="preserve"> Akwa Ibom</t>
  </si>
  <si>
    <t>Emeka Obi</t>
  </si>
  <si>
    <t>Citrus Bloom</t>
  </si>
  <si>
    <t xml:space="preserve">  Kemi   Abubakar </t>
  </si>
  <si>
    <t>Benin City, Edo</t>
  </si>
  <si>
    <t>Benin City</t>
  </si>
  <si>
    <t xml:space="preserve"> Edo</t>
  </si>
  <si>
    <t>FOLAKE CHUKWU</t>
  </si>
  <si>
    <t>Warri, Delta</t>
  </si>
  <si>
    <t>BANK TRANSFER</t>
  </si>
  <si>
    <t>Warri</t>
  </si>
  <si>
    <t xml:space="preserve"> Delta</t>
  </si>
  <si>
    <t>UCHE OGUNDIPE</t>
  </si>
  <si>
    <t>Port Harcourt, Rivers</t>
  </si>
  <si>
    <t>Midnight Musk</t>
  </si>
  <si>
    <t>Card</t>
  </si>
  <si>
    <t>Port Harcourt</t>
  </si>
  <si>
    <t xml:space="preserve"> Rivers</t>
  </si>
  <si>
    <t>ZAINAB YUSUF</t>
  </si>
  <si>
    <t>IBRAHIM OKONKWO</t>
  </si>
  <si>
    <t>Owerri, Imo</t>
  </si>
  <si>
    <t>Leather &amp; Tobacco</t>
  </si>
  <si>
    <t xml:space="preserve">cash  </t>
  </si>
  <si>
    <t>Owerri</t>
  </si>
  <si>
    <t xml:space="preserve"> Imo</t>
  </si>
  <si>
    <t>folake balogun</t>
  </si>
  <si>
    <t>Ikeja, Lagos</t>
  </si>
  <si>
    <t>Bank Transfer</t>
  </si>
  <si>
    <t>Ikeja</t>
  </si>
  <si>
    <t>FEMI BALOGUN</t>
  </si>
  <si>
    <t>bisi balogun</t>
  </si>
  <si>
    <t xml:space="preserve">  Adaeze   Okonkwo </t>
  </si>
  <si>
    <t>Kano, Kano</t>
  </si>
  <si>
    <t>Kano</t>
  </si>
  <si>
    <t xml:space="preserve"> Kano</t>
  </si>
  <si>
    <t>zainab adeleke</t>
  </si>
  <si>
    <t xml:space="preserve">  Blessing   Adeyemi </t>
  </si>
  <si>
    <t xml:space="preserve">  Uche   Nwosu </t>
  </si>
  <si>
    <t>tunde lawal</t>
  </si>
  <si>
    <t xml:space="preserve">  Ngozi   Adeyemi </t>
  </si>
  <si>
    <t>HALIMA OBI</t>
  </si>
  <si>
    <t xml:space="preserve">  Segun   Lawal </t>
  </si>
  <si>
    <t xml:space="preserve">  Chukwuemeka   Musa </t>
  </si>
  <si>
    <t>uche okafor</t>
  </si>
  <si>
    <t>KEMI LAWAL</t>
  </si>
  <si>
    <t>chidinma adeyemi</t>
  </si>
  <si>
    <t>IBRAHIM OKAFOR</t>
  </si>
  <si>
    <t>CHIAMAKA ADEYEMI</t>
  </si>
  <si>
    <t>ibrahim okafor</t>
  </si>
  <si>
    <t>IBRAHIM NWOSU</t>
  </si>
  <si>
    <t>Tunde Adeyemi</t>
  </si>
  <si>
    <t>ZAINAB BALOGUN</t>
  </si>
  <si>
    <t>Blessing Lawal</t>
  </si>
  <si>
    <t xml:space="preserve">  Amaka   Ogundipe </t>
  </si>
  <si>
    <t>oluwaseun obi</t>
  </si>
  <si>
    <t xml:space="preserve">  Chukwuemeka   Bello </t>
  </si>
  <si>
    <t>Yusuf Yusuf</t>
  </si>
  <si>
    <t xml:space="preserve">  Halima   Yusuf </t>
  </si>
  <si>
    <t>Adaeze Adeyemi</t>
  </si>
  <si>
    <t>chukwuemeka lawal</t>
  </si>
  <si>
    <t>FOLAKE OBI</t>
  </si>
  <si>
    <t>BLESSING CHUKWU</t>
  </si>
  <si>
    <t xml:space="preserve">  Femi   Eze </t>
  </si>
  <si>
    <t xml:space="preserve">  Femi   Yusuf </t>
  </si>
  <si>
    <t>Amaka Okafor</t>
  </si>
  <si>
    <t xml:space="preserve">  Uche   Abubakar </t>
  </si>
  <si>
    <t>Folake Nwosu</t>
  </si>
  <si>
    <t>AMAKA MUSA</t>
  </si>
  <si>
    <t>chukwuemeka balogun</t>
  </si>
  <si>
    <t xml:space="preserve">  Chukwuemeka   Obi </t>
  </si>
  <si>
    <t>Quantity missing - excluded from totals, Unit Price missing - excluded from totals</t>
  </si>
  <si>
    <t>Adaeze Abubakar</t>
  </si>
  <si>
    <t>bisi lawal</t>
  </si>
  <si>
    <t>Chiamaka Adeleke</t>
  </si>
  <si>
    <t xml:space="preserve">  Bisi   Nwosu </t>
  </si>
  <si>
    <t xml:space="preserve">  Femi   Ogundipe </t>
  </si>
  <si>
    <t>CHIDINMA ADEYEMI</t>
  </si>
  <si>
    <t>CHIAMAKA OGUNDIPE</t>
  </si>
  <si>
    <t>ibrahim lawal</t>
  </si>
  <si>
    <t xml:space="preserve">  Chiamaka   Ogundipe </t>
  </si>
  <si>
    <t xml:space="preserve">  Rasheedat Bello</t>
  </si>
  <si>
    <t>oluwaseun adeyemi</t>
  </si>
  <si>
    <t>Zainab Abubakar</t>
  </si>
  <si>
    <t>Ngozi Adeyemi</t>
  </si>
  <si>
    <t>ADAEZE OGUNDIPE</t>
  </si>
  <si>
    <t>halima bello</t>
  </si>
  <si>
    <t>Chukwuemeka Eze</t>
  </si>
  <si>
    <t>chiamaka adeyemi</t>
  </si>
  <si>
    <t xml:space="preserve">  Tunde   Eze </t>
  </si>
  <si>
    <t>Emeka Chukwu</t>
  </si>
  <si>
    <t xml:space="preserve">  Kemi   Okafor </t>
  </si>
  <si>
    <t>femi abubakar</t>
  </si>
  <si>
    <t>Folake Bello</t>
  </si>
  <si>
    <t xml:space="preserve">  Tunde   Adeleke </t>
  </si>
  <si>
    <t>Ngozi Balogun</t>
  </si>
  <si>
    <t xml:space="preserve">  Emeka   Adeyemi </t>
  </si>
  <si>
    <t>Bisi Adeyemi</t>
  </si>
  <si>
    <t>adaeze okonkwo</t>
  </si>
  <si>
    <t>Chidinma Musa</t>
  </si>
  <si>
    <t>folake obi</t>
  </si>
  <si>
    <t>bisi chukwu</t>
  </si>
  <si>
    <t>HALIMA BELLO</t>
  </si>
  <si>
    <t>Sum of Total Sale</t>
  </si>
  <si>
    <t>Grand Total</t>
  </si>
  <si>
    <t>Tobi Adewale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</si>
</sst>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[$₦-46A]#,##0.00;[Red][$₦-46A]#,##0.00"/>
    <numFmt numFmtId="177" formatCode="[$-409]dddd\,mmmm\ d\,yyyy;@"/>
    <numFmt numFmtId="178" formatCode="[$-409]d\-mmm\-yyyy;@"/>
  </numFmts>
  <fonts count="28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11"/>
      <color theme="1"/>
      <name val="Calibri"/>
      <charset val="1"/>
    </font>
    <font>
      <b/>
      <sz val="16"/>
      <color rgb="FF1F3A5F"/>
      <name val="Arial"/>
      <charset val="1"/>
    </font>
    <font>
      <b/>
      <sz val="12"/>
      <color rgb="FF1F3A5F"/>
      <name val="Arial"/>
      <charset val="1"/>
    </font>
    <font>
      <sz val="11"/>
      <name val="Arial"/>
      <charset val="1"/>
    </font>
    <font>
      <i/>
      <sz val="10"/>
      <color rgb="FF555555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Border="0" applyAlignment="0" applyProtection="0"/>
    <xf numFmtId="44" fontId="7" fillId="0" borderId="0" applyBorder="0" applyAlignment="0" applyProtection="0"/>
    <xf numFmtId="9" fontId="7" fillId="0" borderId="0" applyBorder="0" applyAlignment="0" applyProtection="0"/>
    <xf numFmtId="41" fontId="7" fillId="0" borderId="0" applyBorder="0" applyAlignment="0" applyProtection="0"/>
    <xf numFmtId="42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1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2" borderId="0" xfId="0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178" fontId="0" fillId="0" borderId="0" xfId="0" applyNumberFormat="1"/>
    <xf numFmtId="0" fontId="2" fillId="0" borderId="0" xfId="0" applyFont="1"/>
    <xf numFmtId="0" fontId="3" fillId="0" borderId="0" xfId="0" applyFont="1" applyBorder="1"/>
    <xf numFmtId="0" fontId="4" fillId="0" borderId="0" xfId="0" applyFont="1"/>
    <xf numFmtId="0" fontId="5" fillId="0" borderId="0" xfId="0" applyFont="1" applyBorder="1"/>
    <xf numFmtId="0" fontId="6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4" formatCode="#,##0.00"/>
    </dxf>
    <dxf>
      <numFmt numFmtId="4" formatCode="#,##0.00"/>
    </dxf>
    <dxf>
      <numFmt numFmtId="176" formatCode="[$₦-46A]#,##0.00;[Red][$₦-46A]#,##0.00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F3A5F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[LagosScent_Mini_Practice.xlsx]PivotTable 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'PivotTable 1'!$B$3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'PivotTable 1'!$A$4:$A$9</c:f>
              <c:strCache>
                <c:ptCount val="5"/>
                <c:pt idx="0">
                  <c:v>Body Spray</c:v>
                </c:pt>
                <c:pt idx="1">
                  <c:v>Diffuser</c:v>
                </c:pt>
                <c:pt idx="2">
                  <c:v>Men's Fragrance</c:v>
                </c:pt>
                <c:pt idx="3">
                  <c:v>Unisex Fragrance</c:v>
                </c:pt>
                <c:pt idx="4">
                  <c:v>Women's Fragrance</c:v>
                </c:pt>
              </c:strCache>
            </c:strRef>
          </c:cat>
          <c:val>
            <c:numRef>
              <c:f>'PivotTable 1'!$B$4:$B$9</c:f>
              <c:numCache>
                <c:formatCode>[$₦-46A]#,##0.00;[Red][$₦-46A]#,##0.00</c:formatCode>
                <c:ptCount val="5"/>
                <c:pt idx="0">
                  <c:v>124000</c:v>
                </c:pt>
                <c:pt idx="1">
                  <c:v>432000</c:v>
                </c:pt>
                <c:pt idx="2">
                  <c:v>1002000</c:v>
                </c:pt>
                <c:pt idx="3">
                  <c:v>217000</c:v>
                </c:pt>
                <c:pt idx="4">
                  <c:v>706500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[LagosScent_Mini_Practice.xlsx]PivotTable 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'PivotTable 2'!$B$3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'PivotTable 2'!$A$4:$A$7</c:f>
              <c:strCache>
                <c:ptCount val="3"/>
                <c:pt idx="0">
                  <c:v>Chinedu Okoye</c:v>
                </c:pt>
                <c:pt idx="1">
                  <c:v>Rasheedat Bello</c:v>
                </c:pt>
                <c:pt idx="2">
                  <c:v>Tobi Adewale</c:v>
                </c:pt>
              </c:strCache>
            </c:strRef>
          </c:cat>
          <c:val>
            <c:numRef>
              <c:f>'PivotTable 2'!$B$4:$B$7</c:f>
              <c:numCache>
                <c:formatCode>General</c:formatCode>
                <c:ptCount val="3"/>
                <c:pt idx="0">
                  <c:v>1053500</c:v>
                </c:pt>
                <c:pt idx="1">
                  <c:v>767000</c:v>
                </c:pt>
                <c:pt idx="2">
                  <c:v>661000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</xdr:colOff>
      <xdr:row>4</xdr:row>
      <xdr:rowOff>19050</xdr:rowOff>
    </xdr:from>
    <xdr:to>
      <xdr:col>10</xdr:col>
      <xdr:colOff>577850</xdr:colOff>
      <xdr:row>19</xdr:row>
      <xdr:rowOff>0</xdr:rowOff>
    </xdr:to>
    <xdr:graphicFrame>
      <xdr:nvGraphicFramePr>
        <xdr:cNvPr id="2" name="Chart 1"/>
        <xdr:cNvGraphicFramePr/>
      </xdr:nvGraphicFramePr>
      <xdr:xfrm>
        <a:off x="3136900" y="755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107950</xdr:colOff>
      <xdr:row>3</xdr:row>
      <xdr:rowOff>76200</xdr:rowOff>
    </xdr:from>
    <xdr:to>
      <xdr:col>11</xdr:col>
      <xdr:colOff>57150</xdr:colOff>
      <xdr:row>18</xdr:row>
      <xdr:rowOff>57150</xdr:rowOff>
    </xdr:to>
    <xdr:graphicFrame>
      <xdr:nvGraphicFramePr>
        <xdr:cNvPr id="2" name="Chart 1"/>
        <xdr:cNvGraphicFramePr/>
      </xdr:nvGraphicFramePr>
      <xdr:xfrm>
        <a:off x="3181350" y="628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4.3200925926" refreshedBy="User" recordCount="90">
  <cacheSource type="worksheet">
    <worksheetSource ref="A1:Q91" sheet="Raw Data"/>
  </cacheSource>
  <cacheFields count="17">
    <cacheField name="Order ID" numFmtId="0">
      <sharedItems containsSemiMixedTypes="0" containsString="0" containsNumber="1" containsInteger="1" minValue="1001" maxValue="1090" count="90">
        <n v="1004"/>
        <n v="1040"/>
        <n v="1041"/>
        <n v="1085"/>
        <n v="1009"/>
        <n v="1006"/>
        <n v="1090"/>
        <n v="1035"/>
        <n v="1014"/>
        <n v="1054"/>
        <n v="1028"/>
        <n v="1039"/>
        <n v="1003"/>
        <n v="1056"/>
        <n v="1012"/>
        <n v="1074"/>
        <n v="1034"/>
        <n v="1013"/>
        <n v="1047"/>
        <n v="1044"/>
        <n v="1029"/>
        <n v="1065"/>
        <n v="1069"/>
        <n v="1005"/>
        <n v="1027"/>
        <n v="1057"/>
        <n v="1061"/>
        <n v="1089"/>
        <n v="1052"/>
        <n v="1087"/>
        <n v="1062"/>
        <n v="1058"/>
        <n v="1036"/>
        <n v="1050"/>
        <n v="1015"/>
        <n v="1082"/>
        <n v="1083"/>
        <n v="1001"/>
        <n v="1018"/>
        <n v="1026"/>
        <n v="1043"/>
        <n v="1072"/>
        <n v="1022"/>
        <n v="1063"/>
        <n v="1078"/>
        <n v="1051"/>
        <n v="1086"/>
        <n v="1070"/>
        <n v="1067"/>
        <n v="1016"/>
        <n v="1007"/>
        <n v="1081"/>
        <n v="1071"/>
        <n v="1025"/>
        <n v="1020"/>
        <n v="1077"/>
        <n v="1017"/>
        <n v="1066"/>
        <n v="1055"/>
        <n v="1045"/>
        <n v="1010"/>
        <n v="1021"/>
        <n v="1037"/>
        <n v="1076"/>
        <n v="1002"/>
        <n v="1084"/>
        <n v="1059"/>
        <n v="1033"/>
        <n v="1060"/>
        <n v="1030"/>
        <n v="1075"/>
        <n v="1064"/>
        <n v="1031"/>
        <n v="1080"/>
        <n v="1049"/>
        <n v="1079"/>
        <n v="1011"/>
        <n v="1023"/>
        <n v="1024"/>
        <n v="1088"/>
        <n v="1073"/>
        <n v="1053"/>
        <n v="1068"/>
        <n v="1032"/>
        <n v="1019"/>
        <n v="1048"/>
        <n v="1046"/>
        <n v="1038"/>
        <n v="1008"/>
        <n v="1042"/>
      </sharedItems>
    </cacheField>
    <cacheField name="Customer Name" numFmtId="0">
      <sharedItems count="81">
        <s v="ibrahim eze"/>
        <s v="IBRAHIM YUSUF"/>
        <s v="segun abubakar"/>
        <s v="chidinma balogun"/>
        <s v="amaka musa"/>
        <s v="  Kemi   Balogun "/>
        <s v="  Kemi   Eze "/>
        <s v="  Ibrahim   Eze "/>
        <s v="FEMI ABUBAKAR"/>
        <s v="  Ngozi   Adeleke "/>
        <s v="ngozi chukwu"/>
        <s v="tunde abubakar"/>
        <s v="CHIDINMA OBI"/>
        <s v="Emeka Obi"/>
        <s v="  Kemi   Abubakar "/>
        <s v="FOLAKE CHUKWU"/>
        <s v="UCHE OGUNDIPE"/>
        <s v="ZAINAB YUSUF"/>
        <s v="IBRAHIM OKONKWO"/>
        <s v="folake balogun"/>
        <s v="FEMI BALOGUN"/>
        <s v="bisi balogun"/>
        <s v="  Adaeze   Okonkwo "/>
        <s v="zainab adeleke"/>
        <s v="  Blessing   Adeyemi "/>
        <s v="  Uche   Nwosu "/>
        <s v="tunde lawal"/>
        <s v="  Ngozi   Adeyemi "/>
        <s v="HALIMA OBI"/>
        <s v="  Segun   Lawal "/>
        <s v="  Chukwuemeka   Musa "/>
        <s v="uche okafor"/>
        <s v="KEMI LAWAL"/>
        <s v="chidinma adeyemi"/>
        <s v="IBRAHIM OKAFOR"/>
        <s v="CHIAMAKA ADEYEMI"/>
        <s v="IBRAHIM NWOSU"/>
        <s v="Tunde Adeyemi"/>
        <s v="ZAINAB BALOGUN"/>
        <s v="Blessing Lawal"/>
        <s v="  Amaka   Ogundipe "/>
        <s v="oluwaseun obi"/>
        <s v="  Chukwuemeka   Bello "/>
        <s v="Yusuf Yusuf"/>
        <s v="  Halima   Yusuf "/>
        <s v="Adaeze Adeyemi"/>
        <s v="chukwuemeka lawal"/>
        <s v="FOLAKE OBI"/>
        <s v="BLESSING CHUKWU"/>
        <s v="  Femi   Eze "/>
        <s v="  Femi   Yusuf "/>
        <s v="Amaka Okafor"/>
        <s v="  Uche   Abubakar "/>
        <s v="Folake Nwosu"/>
        <s v="chukwuemeka balogun"/>
        <s v="  Chukwuemeka   Obi "/>
        <s v="Adaeze Abubakar"/>
        <s v="bisi lawal"/>
        <s v="Chiamaka Adeleke"/>
        <s v="  Bisi   Nwosu "/>
        <s v="  Femi   Ogundipe "/>
        <s v="CHIAMAKA OGUNDIPE"/>
        <s v="ibrahim lawal"/>
        <s v="  Chiamaka   Ogundipe "/>
        <s v="oluwaseun adeyemi"/>
        <s v="Zainab Abubakar"/>
        <s v="Ngozi Adeyemi"/>
        <s v="ADAEZE OGUNDIPE"/>
        <s v="halima bello"/>
        <s v="Chukwuemeka Eze"/>
        <s v="  Tunde   Eze "/>
        <s v="Emeka Chukwu"/>
        <s v="  Kemi   Okafor "/>
        <s v="Folake Bello"/>
        <s v="  Tunde   Adeleke "/>
        <s v="Ngozi Balogun"/>
        <s v="  Emeka   Adeyemi "/>
        <s v="Bisi Adeyemi"/>
        <s v="adaeze okonkwo"/>
        <s v="Chidinma Musa"/>
        <s v="bisi chukwu"/>
      </sharedItems>
    </cacheField>
    <cacheField name="Location" numFmtId="0">
      <sharedItems count="15">
        <s v="Abeokuta, Ogun"/>
        <s v="Abuja, FCT"/>
        <s v="Ilorin, Kwara"/>
        <s v="Kaduna, Kaduna"/>
        <s v="Ibadan, Oyo"/>
        <s v="Lekki, Lagos"/>
        <s v="Enugu, Enugu"/>
        <s v="Lagos, Lagos"/>
        <s v="Uyo, Akwa Ibom"/>
        <s v="Benin City, Edo"/>
        <s v="Warri, Delta"/>
        <s v="Port Harcourt, Rivers"/>
        <s v="Owerri, Imo"/>
        <s v="Ikeja, Lagos"/>
        <s v="Kano, Kano"/>
      </sharedItems>
    </cacheField>
    <cacheField name="Product" numFmtId="0">
      <sharedItems count="12">
        <s v="Sandalwood Noir"/>
        <s v="Amber Oud"/>
        <s v="Velvet Rose"/>
        <s v="Aroma Diffuser Set"/>
        <s v="Fresh Linen Body Spray"/>
        <s v="Ocean Mist Body Spray"/>
        <s v="Jasmine Whisper"/>
        <s v="Ebony Wood"/>
        <s v="Vanilla Dream"/>
        <s v="Citrus Bloom"/>
        <s v="Midnight Musk"/>
        <s v="Leather &amp; Tobacco"/>
      </sharedItems>
    </cacheField>
    <cacheField name="Category" numFmtId="0">
      <sharedItems count="5">
        <s v="Men's Fragrance"/>
        <s v="Unisex Fragrance"/>
        <s v="Women's Fragrance"/>
        <s v="Diffuser"/>
        <s v="Body Spray"/>
      </sharedItems>
    </cacheField>
    <cacheField name="Quantity" numFmtId="0">
      <sharedItems containsString="0" containsBlank="1" containsNumber="1" containsInteger="1" minValue="1" maxValue="4" count="5">
        <n v="1"/>
        <n v="4"/>
        <n v="2"/>
        <m/>
        <n v="3"/>
      </sharedItems>
    </cacheField>
    <cacheField name="Unit Price (NGN)" numFmtId="0">
      <sharedItems containsString="0" containsBlank="1" containsNumber="1" containsInteger="1" minValue="5000" maxValue="27000" count="13">
        <n v="19500"/>
        <m/>
        <n v="15000"/>
        <n v="27000"/>
        <n v="5000"/>
        <n v="5500"/>
        <n v="14000"/>
        <n v="17500"/>
        <n v="18500"/>
        <n v="13500"/>
        <n v="12000"/>
        <n v="16500"/>
        <n v="21000"/>
      </sharedItems>
    </cacheField>
    <cacheField name="Order Date" numFmtId="178">
      <sharedItems containsSemiMixedTypes="0" containsString="0" containsNonDate="0" containsDate="1" minDate="2026-01-13T00:00:00" maxDate="2026-12-08T00:00:00" count="74">
        <d v="2026-02-18T00:00:00"/>
        <d v="2026-04-26T00:00:00"/>
        <d v="2026-07-22T00:00:00"/>
        <d v="2026-08-15T00:00:00"/>
        <d v="2026-08-21T00:00:00"/>
        <d v="2026-07-05T00:00:00"/>
        <d v="2026-05-08T00:00:00"/>
        <d v="2026-03-08T00:00:00"/>
        <d v="2026-01-25T00:00:00"/>
        <d v="2026-08-07T00:00:00"/>
        <d v="2026-02-20T00:00:00"/>
        <d v="2026-06-26T00:00:00"/>
        <d v="2026-06-07T00:00:00"/>
        <d v="2026-04-05T00:00:00"/>
        <d v="2026-04-18T00:00:00"/>
        <d v="2026-01-26T00:00:00"/>
        <d v="2026-03-25T00:00:00"/>
        <d v="2026-07-15T00:00:00"/>
        <d v="2026-03-07T00:00:00"/>
        <d v="2026-05-12T00:00:00"/>
        <d v="2026-06-24T00:00:00"/>
        <d v="2026-08-28T00:00:00"/>
        <d v="2026-05-27T00:00:00"/>
        <d v="2026-02-13T00:00:00"/>
        <d v="2026-07-01T00:00:00"/>
        <d v="2026-03-26T00:00:00"/>
        <d v="2026-06-16T00:00:00"/>
        <d v="2026-04-23T00:00:00"/>
        <d v="2026-02-26T00:00:00"/>
        <d v="2026-08-11T00:00:00"/>
        <d v="2026-02-19T00:00:00"/>
        <d v="2026-07-18T00:00:00"/>
        <d v="2026-07-09T00:00:00"/>
        <d v="2026-02-22T00:00:00"/>
        <d v="2026-04-08T00:00:00"/>
        <d v="2026-04-19T00:00:00"/>
        <d v="2026-04-15T00:00:00"/>
        <d v="2026-03-03T00:00:00"/>
        <d v="2026-02-08T00:00:00"/>
        <d v="2026-04-17T00:00:00"/>
        <d v="2026-06-14T00:00:00"/>
        <d v="2026-07-08T00:00:00"/>
        <d v="2026-08-02T00:00:00"/>
        <d v="2026-05-06T00:00:00"/>
        <d v="2026-06-05T00:00:00"/>
        <d v="2026-05-13T00:00:00"/>
        <d v="2026-03-18T00:00:00"/>
        <d v="2026-05-14T00:00:00"/>
        <d v="2026-03-16T00:00:00"/>
        <d v="2026-07-04T00:00:00"/>
        <d v="2026-06-21T00:00:00"/>
        <d v="2026-03-24T00:00:00"/>
        <d v="2026-01-18T00:00:00"/>
        <d v="2026-08-13T00:00:00"/>
        <d v="2026-06-13T00:00:00"/>
        <d v="2026-04-22T00:00:00"/>
        <d v="2026-07-23T00:00:00"/>
        <d v="2026-01-19T00:00:00"/>
        <d v="2026-03-23T00:00:00"/>
        <d v="2026-12-08T00:00:00"/>
        <d v="2026-03-04T00:00:00"/>
        <d v="2026-05-15T00:00:00"/>
        <d v="2026-02-01T00:00:00"/>
        <d v="2026-08-18T00:00:00"/>
        <d v="2026-01-13T00:00:00"/>
        <d v="2026-07-26T00:00:00"/>
        <d v="2026-04-16T00:00:00"/>
        <d v="2026-08-24T00:00:00"/>
        <d v="2026-01-15T00:00:00"/>
        <d v="2026-08-05T00:00:00"/>
        <d v="2026-08-09T00:00:00"/>
        <d v="2026-08-17T00:00:00"/>
        <d v="2026-08-23T00:00:00"/>
        <d v="2026-06-27T00:00:00"/>
      </sharedItems>
    </cacheField>
    <cacheField name="Payment Method" numFmtId="0">
      <sharedItems count="11">
        <s v=" bank transfer "/>
        <s v="Cash"/>
        <s v=" CARD"/>
        <s v="card "/>
        <s v="pos "/>
        <s v="  POS"/>
        <s v=" Cash"/>
        <s v="POS"/>
        <s v="BANK TRANSFER"/>
        <s v="Card"/>
        <s v="cash  "/>
      </sharedItems>
    </cacheField>
    <cacheField name="Sales Rep" numFmtId="0">
      <sharedItems count="8">
        <s v="CHINEDU OKOYE  "/>
        <s v="tobi adewale "/>
        <s v="rasheedat bello"/>
        <s v="TOBI ADEWALE"/>
        <s v=" Tobi Adewale"/>
        <s v=" chinedu okoye"/>
        <s v="Chinedu Okoye"/>
        <s v="  Rasheedat Bello"/>
      </sharedItems>
    </cacheField>
    <cacheField name="CLEAN NAME" numFmtId="0">
      <sharedItems count="77">
        <s v="Ibrahim Eze"/>
        <s v="Ibrahim Yusuf"/>
        <s v="Segun Abubakar"/>
        <s v="Chidinma Balogun"/>
        <s v="Amaka Musa"/>
        <s v="Kemi Balogun"/>
        <s v="Kemi Eze"/>
        <s v="Femi Abubakar"/>
        <s v="Ngozi Adeleke"/>
        <s v="Ngozi Chukwu"/>
        <s v="Tunde Abubakar"/>
        <s v="Chidinma Obi"/>
        <s v="Emeka Obi"/>
        <s v="Kemi Abubakar"/>
        <s v="Folake Chukwu"/>
        <s v="Uche Ogundipe"/>
        <s v="Zainab Yusuf"/>
        <s v="Ibrahim Okonkwo"/>
        <s v="Folake Balogun"/>
        <s v="Femi Balogun"/>
        <s v="Bisi Balogun"/>
        <s v="Adaeze Okonkwo"/>
        <s v="Zainab Adeleke"/>
        <s v="Blessing Adeyemi"/>
        <s v="Uche Nwosu"/>
        <s v="Tunde Lawal"/>
        <s v="Ngozi Adeyemi"/>
        <s v="Halima Obi"/>
        <s v="Segun Lawal"/>
        <s v="Chukwuemeka Musa"/>
        <s v="Uche Okafor"/>
        <s v="Kemi Lawal"/>
        <s v="Chidinma Adeyemi"/>
        <s v="Ibrahim Okafor"/>
        <s v="Chiamaka Adeyemi"/>
        <s v="Ibrahim Nwosu"/>
        <s v="Tunde Adeyemi"/>
        <s v="Zainab Balogun"/>
        <s v="Blessing Lawal"/>
        <s v="Amaka Ogundipe"/>
        <s v="Oluwaseun Obi"/>
        <s v="Chukwuemeka Bello"/>
        <s v="Yusuf Yusuf"/>
        <s v="Halima Yusuf"/>
        <s v="Adaeze Adeyemi"/>
        <s v="Chukwuemeka Lawal"/>
        <s v="Folake Obi"/>
        <s v="Blessing Chukwu"/>
        <s v="Femi Eze"/>
        <s v="Femi Yusuf"/>
        <s v="Amaka Okafor"/>
        <s v="Uche Abubakar"/>
        <s v="Folake Nwosu"/>
        <s v="Chukwuemeka Balogun"/>
        <s v="Chukwuemeka Obi"/>
        <s v="Adaeze Abubakar"/>
        <s v="Bisi Lawal"/>
        <s v="Chiamaka Adeleke"/>
        <s v="Bisi Nwosu"/>
        <s v="Femi Ogundipe"/>
        <s v="Chiamaka Ogundipe"/>
        <s v="Ibrahim Lawal"/>
        <s v="Oluwaseun Adeyemi"/>
        <s v="Zainab Abubakar"/>
        <s v="Adaeze Ogundipe"/>
        <s v="Halima Bello"/>
        <s v="Chukwuemeka Eze"/>
        <s v="Tunde Eze"/>
        <s v="Emeka Chukwu"/>
        <s v="Kemi Okafor"/>
        <s v="Folake Bello"/>
        <s v="Tunde Adeleke"/>
        <s v="Ngozi Balogun"/>
        <s v="Emeka Adeyemi"/>
        <s v="Bisi Adeyemi"/>
        <s v="Chidinma Musa"/>
        <s v="Bisi Chukwu"/>
      </sharedItems>
    </cacheField>
    <cacheField name="CLEAN PAYMENT METHOD" numFmtId="0">
      <sharedItems count="4">
        <s v="BANK TRANSFER"/>
        <s v="CASH"/>
        <s v="CARD"/>
        <s v="POS"/>
      </sharedItems>
    </cacheField>
    <cacheField name="CLEAN SALES REP" numFmtId="0">
      <sharedItems count="3">
        <s v="Chinedu Okoye"/>
        <s v="Tobi Adewale"/>
        <s v="Rasheedat Bello"/>
      </sharedItems>
    </cacheField>
    <cacheField name="CITY" numFmtId="0">
      <sharedItems count="15">
        <s v="Abeokuta"/>
        <s v="Abuja"/>
        <s v="Ilorin"/>
        <s v="Kaduna"/>
        <s v="Ibadan"/>
        <s v="Lekki"/>
        <s v="Enugu"/>
        <s v="Lagos"/>
        <s v="Uyo"/>
        <s v="Benin City"/>
        <s v="Warri"/>
        <s v="Port Harcourt"/>
        <s v="Owerri"/>
        <s v="Ikeja"/>
        <s v="Kano"/>
      </sharedItems>
    </cacheField>
    <cacheField name="STATE" numFmtId="0">
      <sharedItems count="13">
        <s v=" Ogun"/>
        <s v=" FCT"/>
        <s v=" Kwara"/>
        <s v=" Kaduna"/>
        <s v=" Oyo"/>
        <s v=" Lagos"/>
        <s v=" Enugu"/>
        <s v=" Akwa Ibom"/>
        <s v=" Edo"/>
        <s v=" Delta"/>
        <s v=" Rivers"/>
        <s v=" Imo"/>
        <s v=" Kano"/>
      </sharedItems>
    </cacheField>
    <cacheField name="NOTES" numFmtId="0">
      <sharedItems containsBlank="1" count="4">
        <m/>
        <s v="Unit Price missing - excluded from totals"/>
        <s v="Quantity missing - excluded from totals"/>
        <s v="Quantity missing - excluded from totals, Unit Price missing - excluded from totals"/>
      </sharedItems>
    </cacheField>
    <cacheField name="Total Sale" numFmtId="0">
      <sharedItems containsNumber="1" containsInteger="1" containsMixedTypes="1" count="34">
        <n v="19500"/>
        <s v=""/>
        <n v="30000"/>
        <n v="5500"/>
        <n v="14000"/>
        <n v="17500"/>
        <n v="37000"/>
        <n v="60000"/>
        <n v="40500"/>
        <n v="12000"/>
        <n v="39000"/>
        <n v="16500"/>
        <n v="63000"/>
        <n v="24000"/>
        <n v="42000"/>
        <n v="81000"/>
        <n v="58500"/>
        <n v="54000"/>
        <n v="84000"/>
        <n v="20000"/>
        <n v="27000"/>
        <n v="33000"/>
        <n v="35000"/>
        <n v="48000"/>
        <n v="13500"/>
        <n v="21000"/>
        <n v="108000"/>
        <n v="11000"/>
        <n v="10000"/>
        <n v="78000"/>
        <n v="5000"/>
        <n v="15000"/>
        <n v="18500"/>
        <n v="28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1"/>
    <x v="2"/>
    <x v="2"/>
    <x v="1"/>
    <x v="2"/>
    <x v="2"/>
    <x v="2"/>
    <x v="0"/>
    <x v="2"/>
  </r>
  <r>
    <x v="3"/>
    <x v="3"/>
    <x v="3"/>
    <x v="3"/>
    <x v="3"/>
    <x v="3"/>
    <x v="3"/>
    <x v="3"/>
    <x v="2"/>
    <x v="0"/>
    <x v="3"/>
    <x v="2"/>
    <x v="0"/>
    <x v="3"/>
    <x v="3"/>
    <x v="2"/>
    <x v="1"/>
  </r>
  <r>
    <x v="4"/>
    <x v="4"/>
    <x v="4"/>
    <x v="4"/>
    <x v="4"/>
    <x v="3"/>
    <x v="4"/>
    <x v="4"/>
    <x v="3"/>
    <x v="3"/>
    <x v="4"/>
    <x v="2"/>
    <x v="1"/>
    <x v="4"/>
    <x v="4"/>
    <x v="2"/>
    <x v="1"/>
  </r>
  <r>
    <x v="5"/>
    <x v="5"/>
    <x v="2"/>
    <x v="5"/>
    <x v="4"/>
    <x v="0"/>
    <x v="5"/>
    <x v="5"/>
    <x v="4"/>
    <x v="1"/>
    <x v="5"/>
    <x v="3"/>
    <x v="1"/>
    <x v="2"/>
    <x v="2"/>
    <x v="0"/>
    <x v="3"/>
  </r>
  <r>
    <x v="6"/>
    <x v="6"/>
    <x v="3"/>
    <x v="6"/>
    <x v="2"/>
    <x v="0"/>
    <x v="6"/>
    <x v="6"/>
    <x v="5"/>
    <x v="1"/>
    <x v="6"/>
    <x v="3"/>
    <x v="1"/>
    <x v="3"/>
    <x v="3"/>
    <x v="0"/>
    <x v="4"/>
  </r>
  <r>
    <x v="7"/>
    <x v="7"/>
    <x v="0"/>
    <x v="7"/>
    <x v="1"/>
    <x v="0"/>
    <x v="7"/>
    <x v="7"/>
    <x v="1"/>
    <x v="4"/>
    <x v="0"/>
    <x v="1"/>
    <x v="1"/>
    <x v="0"/>
    <x v="0"/>
    <x v="0"/>
    <x v="5"/>
  </r>
  <r>
    <x v="8"/>
    <x v="8"/>
    <x v="5"/>
    <x v="5"/>
    <x v="4"/>
    <x v="0"/>
    <x v="5"/>
    <x v="8"/>
    <x v="2"/>
    <x v="5"/>
    <x v="7"/>
    <x v="2"/>
    <x v="0"/>
    <x v="5"/>
    <x v="5"/>
    <x v="0"/>
    <x v="3"/>
  </r>
  <r>
    <x v="9"/>
    <x v="9"/>
    <x v="5"/>
    <x v="1"/>
    <x v="1"/>
    <x v="2"/>
    <x v="8"/>
    <x v="9"/>
    <x v="2"/>
    <x v="6"/>
    <x v="8"/>
    <x v="2"/>
    <x v="0"/>
    <x v="5"/>
    <x v="5"/>
    <x v="0"/>
    <x v="6"/>
  </r>
  <r>
    <x v="10"/>
    <x v="10"/>
    <x v="6"/>
    <x v="5"/>
    <x v="4"/>
    <x v="0"/>
    <x v="1"/>
    <x v="10"/>
    <x v="6"/>
    <x v="2"/>
    <x v="9"/>
    <x v="1"/>
    <x v="2"/>
    <x v="6"/>
    <x v="6"/>
    <x v="1"/>
    <x v="1"/>
  </r>
  <r>
    <x v="11"/>
    <x v="11"/>
    <x v="7"/>
    <x v="2"/>
    <x v="2"/>
    <x v="1"/>
    <x v="2"/>
    <x v="11"/>
    <x v="7"/>
    <x v="0"/>
    <x v="10"/>
    <x v="3"/>
    <x v="0"/>
    <x v="7"/>
    <x v="5"/>
    <x v="0"/>
    <x v="7"/>
  </r>
  <r>
    <x v="12"/>
    <x v="12"/>
    <x v="8"/>
    <x v="8"/>
    <x v="2"/>
    <x v="4"/>
    <x v="9"/>
    <x v="12"/>
    <x v="0"/>
    <x v="6"/>
    <x v="11"/>
    <x v="0"/>
    <x v="0"/>
    <x v="8"/>
    <x v="7"/>
    <x v="0"/>
    <x v="8"/>
  </r>
  <r>
    <x v="13"/>
    <x v="13"/>
    <x v="4"/>
    <x v="9"/>
    <x v="2"/>
    <x v="0"/>
    <x v="10"/>
    <x v="7"/>
    <x v="4"/>
    <x v="1"/>
    <x v="12"/>
    <x v="3"/>
    <x v="1"/>
    <x v="4"/>
    <x v="4"/>
    <x v="0"/>
    <x v="9"/>
  </r>
  <r>
    <x v="14"/>
    <x v="14"/>
    <x v="9"/>
    <x v="0"/>
    <x v="0"/>
    <x v="0"/>
    <x v="0"/>
    <x v="13"/>
    <x v="2"/>
    <x v="1"/>
    <x v="13"/>
    <x v="2"/>
    <x v="1"/>
    <x v="9"/>
    <x v="8"/>
    <x v="0"/>
    <x v="0"/>
  </r>
  <r>
    <x v="15"/>
    <x v="15"/>
    <x v="10"/>
    <x v="0"/>
    <x v="0"/>
    <x v="2"/>
    <x v="0"/>
    <x v="14"/>
    <x v="8"/>
    <x v="2"/>
    <x v="14"/>
    <x v="0"/>
    <x v="2"/>
    <x v="10"/>
    <x v="9"/>
    <x v="0"/>
    <x v="10"/>
  </r>
  <r>
    <x v="16"/>
    <x v="16"/>
    <x v="11"/>
    <x v="10"/>
    <x v="0"/>
    <x v="0"/>
    <x v="11"/>
    <x v="15"/>
    <x v="9"/>
    <x v="2"/>
    <x v="15"/>
    <x v="2"/>
    <x v="2"/>
    <x v="11"/>
    <x v="10"/>
    <x v="0"/>
    <x v="11"/>
  </r>
  <r>
    <x v="17"/>
    <x v="17"/>
    <x v="6"/>
    <x v="1"/>
    <x v="1"/>
    <x v="2"/>
    <x v="8"/>
    <x v="16"/>
    <x v="0"/>
    <x v="2"/>
    <x v="16"/>
    <x v="0"/>
    <x v="2"/>
    <x v="6"/>
    <x v="6"/>
    <x v="0"/>
    <x v="6"/>
  </r>
  <r>
    <x v="18"/>
    <x v="18"/>
    <x v="12"/>
    <x v="11"/>
    <x v="0"/>
    <x v="4"/>
    <x v="12"/>
    <x v="17"/>
    <x v="10"/>
    <x v="3"/>
    <x v="17"/>
    <x v="1"/>
    <x v="1"/>
    <x v="12"/>
    <x v="11"/>
    <x v="0"/>
    <x v="12"/>
  </r>
  <r>
    <x v="19"/>
    <x v="19"/>
    <x v="13"/>
    <x v="9"/>
    <x v="2"/>
    <x v="2"/>
    <x v="10"/>
    <x v="18"/>
    <x v="8"/>
    <x v="2"/>
    <x v="18"/>
    <x v="0"/>
    <x v="2"/>
    <x v="13"/>
    <x v="5"/>
    <x v="0"/>
    <x v="13"/>
  </r>
  <r>
    <x v="20"/>
    <x v="20"/>
    <x v="10"/>
    <x v="5"/>
    <x v="4"/>
    <x v="0"/>
    <x v="5"/>
    <x v="19"/>
    <x v="10"/>
    <x v="0"/>
    <x v="19"/>
    <x v="1"/>
    <x v="0"/>
    <x v="10"/>
    <x v="9"/>
    <x v="0"/>
    <x v="3"/>
  </r>
  <r>
    <x v="21"/>
    <x v="21"/>
    <x v="6"/>
    <x v="6"/>
    <x v="2"/>
    <x v="4"/>
    <x v="6"/>
    <x v="20"/>
    <x v="5"/>
    <x v="5"/>
    <x v="20"/>
    <x v="3"/>
    <x v="0"/>
    <x v="6"/>
    <x v="6"/>
    <x v="0"/>
    <x v="14"/>
  </r>
  <r>
    <x v="22"/>
    <x v="22"/>
    <x v="14"/>
    <x v="10"/>
    <x v="0"/>
    <x v="0"/>
    <x v="11"/>
    <x v="21"/>
    <x v="0"/>
    <x v="6"/>
    <x v="21"/>
    <x v="0"/>
    <x v="0"/>
    <x v="14"/>
    <x v="12"/>
    <x v="0"/>
    <x v="11"/>
  </r>
  <r>
    <x v="23"/>
    <x v="23"/>
    <x v="0"/>
    <x v="9"/>
    <x v="2"/>
    <x v="0"/>
    <x v="1"/>
    <x v="6"/>
    <x v="9"/>
    <x v="1"/>
    <x v="22"/>
    <x v="2"/>
    <x v="1"/>
    <x v="0"/>
    <x v="0"/>
    <x v="1"/>
    <x v="1"/>
  </r>
  <r>
    <x v="24"/>
    <x v="24"/>
    <x v="2"/>
    <x v="3"/>
    <x v="3"/>
    <x v="4"/>
    <x v="3"/>
    <x v="12"/>
    <x v="3"/>
    <x v="6"/>
    <x v="23"/>
    <x v="2"/>
    <x v="0"/>
    <x v="2"/>
    <x v="2"/>
    <x v="0"/>
    <x v="15"/>
  </r>
  <r>
    <x v="25"/>
    <x v="25"/>
    <x v="8"/>
    <x v="0"/>
    <x v="0"/>
    <x v="4"/>
    <x v="0"/>
    <x v="10"/>
    <x v="3"/>
    <x v="1"/>
    <x v="24"/>
    <x v="2"/>
    <x v="1"/>
    <x v="8"/>
    <x v="7"/>
    <x v="0"/>
    <x v="16"/>
  </r>
  <r>
    <x v="26"/>
    <x v="26"/>
    <x v="0"/>
    <x v="6"/>
    <x v="2"/>
    <x v="3"/>
    <x v="6"/>
    <x v="22"/>
    <x v="9"/>
    <x v="1"/>
    <x v="25"/>
    <x v="2"/>
    <x v="1"/>
    <x v="0"/>
    <x v="0"/>
    <x v="2"/>
    <x v="1"/>
  </r>
  <r>
    <x v="27"/>
    <x v="27"/>
    <x v="12"/>
    <x v="0"/>
    <x v="0"/>
    <x v="4"/>
    <x v="0"/>
    <x v="23"/>
    <x v="4"/>
    <x v="0"/>
    <x v="26"/>
    <x v="3"/>
    <x v="0"/>
    <x v="12"/>
    <x v="11"/>
    <x v="0"/>
    <x v="16"/>
  </r>
  <r>
    <x v="28"/>
    <x v="28"/>
    <x v="6"/>
    <x v="9"/>
    <x v="2"/>
    <x v="2"/>
    <x v="10"/>
    <x v="24"/>
    <x v="4"/>
    <x v="6"/>
    <x v="27"/>
    <x v="3"/>
    <x v="0"/>
    <x v="6"/>
    <x v="6"/>
    <x v="0"/>
    <x v="13"/>
  </r>
  <r>
    <x v="29"/>
    <x v="29"/>
    <x v="8"/>
    <x v="8"/>
    <x v="2"/>
    <x v="1"/>
    <x v="9"/>
    <x v="25"/>
    <x v="8"/>
    <x v="3"/>
    <x v="28"/>
    <x v="0"/>
    <x v="1"/>
    <x v="8"/>
    <x v="7"/>
    <x v="0"/>
    <x v="17"/>
  </r>
  <r>
    <x v="30"/>
    <x v="30"/>
    <x v="4"/>
    <x v="11"/>
    <x v="0"/>
    <x v="1"/>
    <x v="12"/>
    <x v="26"/>
    <x v="10"/>
    <x v="2"/>
    <x v="29"/>
    <x v="1"/>
    <x v="2"/>
    <x v="4"/>
    <x v="4"/>
    <x v="0"/>
    <x v="18"/>
  </r>
  <r>
    <x v="31"/>
    <x v="31"/>
    <x v="0"/>
    <x v="4"/>
    <x v="4"/>
    <x v="1"/>
    <x v="4"/>
    <x v="27"/>
    <x v="7"/>
    <x v="2"/>
    <x v="30"/>
    <x v="3"/>
    <x v="2"/>
    <x v="0"/>
    <x v="0"/>
    <x v="0"/>
    <x v="19"/>
  </r>
  <r>
    <x v="32"/>
    <x v="26"/>
    <x v="12"/>
    <x v="8"/>
    <x v="2"/>
    <x v="2"/>
    <x v="9"/>
    <x v="28"/>
    <x v="8"/>
    <x v="5"/>
    <x v="25"/>
    <x v="0"/>
    <x v="0"/>
    <x v="12"/>
    <x v="11"/>
    <x v="0"/>
    <x v="20"/>
  </r>
  <r>
    <x v="33"/>
    <x v="32"/>
    <x v="8"/>
    <x v="9"/>
    <x v="2"/>
    <x v="0"/>
    <x v="10"/>
    <x v="29"/>
    <x v="8"/>
    <x v="2"/>
    <x v="31"/>
    <x v="0"/>
    <x v="2"/>
    <x v="8"/>
    <x v="7"/>
    <x v="0"/>
    <x v="9"/>
  </r>
  <r>
    <x v="34"/>
    <x v="33"/>
    <x v="10"/>
    <x v="0"/>
    <x v="0"/>
    <x v="2"/>
    <x v="0"/>
    <x v="30"/>
    <x v="5"/>
    <x v="5"/>
    <x v="32"/>
    <x v="3"/>
    <x v="0"/>
    <x v="10"/>
    <x v="9"/>
    <x v="0"/>
    <x v="10"/>
  </r>
  <r>
    <x v="35"/>
    <x v="34"/>
    <x v="8"/>
    <x v="10"/>
    <x v="0"/>
    <x v="2"/>
    <x v="11"/>
    <x v="31"/>
    <x v="9"/>
    <x v="1"/>
    <x v="33"/>
    <x v="2"/>
    <x v="1"/>
    <x v="8"/>
    <x v="7"/>
    <x v="0"/>
    <x v="21"/>
  </r>
  <r>
    <x v="36"/>
    <x v="35"/>
    <x v="6"/>
    <x v="7"/>
    <x v="1"/>
    <x v="2"/>
    <x v="7"/>
    <x v="32"/>
    <x v="10"/>
    <x v="2"/>
    <x v="34"/>
    <x v="1"/>
    <x v="2"/>
    <x v="6"/>
    <x v="6"/>
    <x v="0"/>
    <x v="22"/>
  </r>
  <r>
    <x v="37"/>
    <x v="34"/>
    <x v="4"/>
    <x v="9"/>
    <x v="2"/>
    <x v="0"/>
    <x v="10"/>
    <x v="33"/>
    <x v="1"/>
    <x v="4"/>
    <x v="33"/>
    <x v="1"/>
    <x v="1"/>
    <x v="4"/>
    <x v="4"/>
    <x v="0"/>
    <x v="9"/>
  </r>
  <r>
    <x v="38"/>
    <x v="36"/>
    <x v="13"/>
    <x v="5"/>
    <x v="4"/>
    <x v="0"/>
    <x v="5"/>
    <x v="34"/>
    <x v="0"/>
    <x v="4"/>
    <x v="35"/>
    <x v="0"/>
    <x v="1"/>
    <x v="13"/>
    <x v="5"/>
    <x v="0"/>
    <x v="3"/>
  </r>
  <r>
    <x v="39"/>
    <x v="37"/>
    <x v="2"/>
    <x v="9"/>
    <x v="2"/>
    <x v="1"/>
    <x v="10"/>
    <x v="35"/>
    <x v="7"/>
    <x v="4"/>
    <x v="36"/>
    <x v="3"/>
    <x v="1"/>
    <x v="2"/>
    <x v="2"/>
    <x v="0"/>
    <x v="23"/>
  </r>
  <r>
    <x v="40"/>
    <x v="38"/>
    <x v="11"/>
    <x v="3"/>
    <x v="3"/>
    <x v="4"/>
    <x v="3"/>
    <x v="36"/>
    <x v="10"/>
    <x v="3"/>
    <x v="37"/>
    <x v="1"/>
    <x v="1"/>
    <x v="11"/>
    <x v="10"/>
    <x v="0"/>
    <x v="15"/>
  </r>
  <r>
    <x v="41"/>
    <x v="39"/>
    <x v="12"/>
    <x v="9"/>
    <x v="2"/>
    <x v="2"/>
    <x v="10"/>
    <x v="37"/>
    <x v="8"/>
    <x v="0"/>
    <x v="38"/>
    <x v="0"/>
    <x v="0"/>
    <x v="12"/>
    <x v="11"/>
    <x v="0"/>
    <x v="13"/>
  </r>
  <r>
    <x v="42"/>
    <x v="40"/>
    <x v="5"/>
    <x v="8"/>
    <x v="2"/>
    <x v="0"/>
    <x v="9"/>
    <x v="38"/>
    <x v="6"/>
    <x v="1"/>
    <x v="39"/>
    <x v="1"/>
    <x v="1"/>
    <x v="5"/>
    <x v="5"/>
    <x v="0"/>
    <x v="24"/>
  </r>
  <r>
    <x v="43"/>
    <x v="41"/>
    <x v="14"/>
    <x v="0"/>
    <x v="0"/>
    <x v="2"/>
    <x v="0"/>
    <x v="39"/>
    <x v="9"/>
    <x v="6"/>
    <x v="40"/>
    <x v="2"/>
    <x v="0"/>
    <x v="14"/>
    <x v="12"/>
    <x v="0"/>
    <x v="10"/>
  </r>
  <r>
    <x v="44"/>
    <x v="42"/>
    <x v="2"/>
    <x v="11"/>
    <x v="0"/>
    <x v="0"/>
    <x v="12"/>
    <x v="40"/>
    <x v="4"/>
    <x v="1"/>
    <x v="41"/>
    <x v="3"/>
    <x v="1"/>
    <x v="2"/>
    <x v="2"/>
    <x v="0"/>
    <x v="25"/>
  </r>
  <r>
    <x v="45"/>
    <x v="43"/>
    <x v="3"/>
    <x v="3"/>
    <x v="3"/>
    <x v="1"/>
    <x v="3"/>
    <x v="19"/>
    <x v="1"/>
    <x v="0"/>
    <x v="42"/>
    <x v="1"/>
    <x v="0"/>
    <x v="3"/>
    <x v="3"/>
    <x v="0"/>
    <x v="26"/>
  </r>
  <r>
    <x v="46"/>
    <x v="44"/>
    <x v="10"/>
    <x v="5"/>
    <x v="4"/>
    <x v="2"/>
    <x v="5"/>
    <x v="41"/>
    <x v="1"/>
    <x v="4"/>
    <x v="43"/>
    <x v="1"/>
    <x v="1"/>
    <x v="10"/>
    <x v="9"/>
    <x v="0"/>
    <x v="27"/>
  </r>
  <r>
    <x v="47"/>
    <x v="45"/>
    <x v="5"/>
    <x v="10"/>
    <x v="0"/>
    <x v="2"/>
    <x v="11"/>
    <x v="42"/>
    <x v="1"/>
    <x v="2"/>
    <x v="44"/>
    <x v="1"/>
    <x v="2"/>
    <x v="5"/>
    <x v="5"/>
    <x v="0"/>
    <x v="21"/>
  </r>
  <r>
    <x v="48"/>
    <x v="46"/>
    <x v="13"/>
    <x v="9"/>
    <x v="2"/>
    <x v="2"/>
    <x v="10"/>
    <x v="43"/>
    <x v="5"/>
    <x v="0"/>
    <x v="45"/>
    <x v="3"/>
    <x v="0"/>
    <x v="13"/>
    <x v="5"/>
    <x v="0"/>
    <x v="13"/>
  </r>
  <r>
    <x v="49"/>
    <x v="47"/>
    <x v="5"/>
    <x v="4"/>
    <x v="4"/>
    <x v="3"/>
    <x v="4"/>
    <x v="44"/>
    <x v="7"/>
    <x v="6"/>
    <x v="46"/>
    <x v="3"/>
    <x v="0"/>
    <x v="5"/>
    <x v="5"/>
    <x v="2"/>
    <x v="1"/>
  </r>
  <r>
    <x v="50"/>
    <x v="48"/>
    <x v="9"/>
    <x v="7"/>
    <x v="1"/>
    <x v="2"/>
    <x v="7"/>
    <x v="45"/>
    <x v="5"/>
    <x v="0"/>
    <x v="47"/>
    <x v="3"/>
    <x v="0"/>
    <x v="9"/>
    <x v="8"/>
    <x v="0"/>
    <x v="22"/>
  </r>
  <r>
    <x v="51"/>
    <x v="49"/>
    <x v="2"/>
    <x v="11"/>
    <x v="0"/>
    <x v="0"/>
    <x v="12"/>
    <x v="46"/>
    <x v="10"/>
    <x v="5"/>
    <x v="48"/>
    <x v="1"/>
    <x v="0"/>
    <x v="2"/>
    <x v="2"/>
    <x v="0"/>
    <x v="25"/>
  </r>
  <r>
    <x v="52"/>
    <x v="50"/>
    <x v="10"/>
    <x v="11"/>
    <x v="0"/>
    <x v="2"/>
    <x v="12"/>
    <x v="47"/>
    <x v="7"/>
    <x v="4"/>
    <x v="49"/>
    <x v="3"/>
    <x v="1"/>
    <x v="10"/>
    <x v="9"/>
    <x v="0"/>
    <x v="14"/>
  </r>
  <r>
    <x v="53"/>
    <x v="51"/>
    <x v="8"/>
    <x v="5"/>
    <x v="4"/>
    <x v="0"/>
    <x v="5"/>
    <x v="48"/>
    <x v="6"/>
    <x v="1"/>
    <x v="50"/>
    <x v="1"/>
    <x v="1"/>
    <x v="8"/>
    <x v="7"/>
    <x v="0"/>
    <x v="3"/>
  </r>
  <r>
    <x v="54"/>
    <x v="52"/>
    <x v="4"/>
    <x v="11"/>
    <x v="0"/>
    <x v="1"/>
    <x v="12"/>
    <x v="49"/>
    <x v="1"/>
    <x v="6"/>
    <x v="51"/>
    <x v="1"/>
    <x v="0"/>
    <x v="4"/>
    <x v="4"/>
    <x v="0"/>
    <x v="18"/>
  </r>
  <r>
    <x v="55"/>
    <x v="53"/>
    <x v="12"/>
    <x v="4"/>
    <x v="4"/>
    <x v="2"/>
    <x v="4"/>
    <x v="16"/>
    <x v="6"/>
    <x v="5"/>
    <x v="52"/>
    <x v="1"/>
    <x v="0"/>
    <x v="12"/>
    <x v="11"/>
    <x v="0"/>
    <x v="28"/>
  </r>
  <r>
    <x v="56"/>
    <x v="4"/>
    <x v="8"/>
    <x v="0"/>
    <x v="0"/>
    <x v="1"/>
    <x v="0"/>
    <x v="50"/>
    <x v="6"/>
    <x v="5"/>
    <x v="4"/>
    <x v="1"/>
    <x v="0"/>
    <x v="8"/>
    <x v="7"/>
    <x v="0"/>
    <x v="29"/>
  </r>
  <r>
    <x v="57"/>
    <x v="54"/>
    <x v="4"/>
    <x v="2"/>
    <x v="2"/>
    <x v="2"/>
    <x v="2"/>
    <x v="51"/>
    <x v="9"/>
    <x v="5"/>
    <x v="53"/>
    <x v="2"/>
    <x v="0"/>
    <x v="4"/>
    <x v="4"/>
    <x v="0"/>
    <x v="2"/>
  </r>
  <r>
    <x v="58"/>
    <x v="55"/>
    <x v="1"/>
    <x v="2"/>
    <x v="2"/>
    <x v="3"/>
    <x v="1"/>
    <x v="52"/>
    <x v="9"/>
    <x v="1"/>
    <x v="54"/>
    <x v="2"/>
    <x v="1"/>
    <x v="1"/>
    <x v="1"/>
    <x v="3"/>
    <x v="1"/>
  </r>
  <r>
    <x v="59"/>
    <x v="56"/>
    <x v="6"/>
    <x v="8"/>
    <x v="2"/>
    <x v="2"/>
    <x v="9"/>
    <x v="53"/>
    <x v="9"/>
    <x v="3"/>
    <x v="55"/>
    <x v="2"/>
    <x v="1"/>
    <x v="6"/>
    <x v="6"/>
    <x v="0"/>
    <x v="20"/>
  </r>
  <r>
    <x v="60"/>
    <x v="57"/>
    <x v="8"/>
    <x v="3"/>
    <x v="3"/>
    <x v="1"/>
    <x v="3"/>
    <x v="54"/>
    <x v="8"/>
    <x v="0"/>
    <x v="56"/>
    <x v="0"/>
    <x v="0"/>
    <x v="8"/>
    <x v="7"/>
    <x v="0"/>
    <x v="26"/>
  </r>
  <r>
    <x v="61"/>
    <x v="58"/>
    <x v="2"/>
    <x v="4"/>
    <x v="4"/>
    <x v="0"/>
    <x v="4"/>
    <x v="20"/>
    <x v="9"/>
    <x v="2"/>
    <x v="57"/>
    <x v="2"/>
    <x v="2"/>
    <x v="2"/>
    <x v="2"/>
    <x v="0"/>
    <x v="30"/>
  </r>
  <r>
    <x v="62"/>
    <x v="59"/>
    <x v="14"/>
    <x v="0"/>
    <x v="0"/>
    <x v="2"/>
    <x v="0"/>
    <x v="55"/>
    <x v="2"/>
    <x v="2"/>
    <x v="58"/>
    <x v="2"/>
    <x v="2"/>
    <x v="14"/>
    <x v="12"/>
    <x v="0"/>
    <x v="10"/>
  </r>
  <r>
    <x v="63"/>
    <x v="60"/>
    <x v="6"/>
    <x v="2"/>
    <x v="2"/>
    <x v="0"/>
    <x v="2"/>
    <x v="20"/>
    <x v="3"/>
    <x v="4"/>
    <x v="59"/>
    <x v="2"/>
    <x v="1"/>
    <x v="6"/>
    <x v="6"/>
    <x v="0"/>
    <x v="31"/>
  </r>
  <r>
    <x v="64"/>
    <x v="33"/>
    <x v="4"/>
    <x v="6"/>
    <x v="2"/>
    <x v="0"/>
    <x v="6"/>
    <x v="56"/>
    <x v="10"/>
    <x v="2"/>
    <x v="32"/>
    <x v="1"/>
    <x v="2"/>
    <x v="4"/>
    <x v="4"/>
    <x v="0"/>
    <x v="4"/>
  </r>
  <r>
    <x v="65"/>
    <x v="61"/>
    <x v="11"/>
    <x v="9"/>
    <x v="2"/>
    <x v="0"/>
    <x v="10"/>
    <x v="32"/>
    <x v="6"/>
    <x v="2"/>
    <x v="60"/>
    <x v="1"/>
    <x v="2"/>
    <x v="11"/>
    <x v="10"/>
    <x v="0"/>
    <x v="9"/>
  </r>
  <r>
    <x v="66"/>
    <x v="62"/>
    <x v="3"/>
    <x v="4"/>
    <x v="4"/>
    <x v="0"/>
    <x v="4"/>
    <x v="57"/>
    <x v="6"/>
    <x v="6"/>
    <x v="61"/>
    <x v="1"/>
    <x v="0"/>
    <x v="3"/>
    <x v="3"/>
    <x v="0"/>
    <x v="30"/>
  </r>
  <r>
    <x v="67"/>
    <x v="63"/>
    <x v="9"/>
    <x v="1"/>
    <x v="1"/>
    <x v="0"/>
    <x v="8"/>
    <x v="58"/>
    <x v="8"/>
    <x v="7"/>
    <x v="60"/>
    <x v="0"/>
    <x v="2"/>
    <x v="9"/>
    <x v="8"/>
    <x v="0"/>
    <x v="32"/>
  </r>
  <r>
    <x v="68"/>
    <x v="64"/>
    <x v="7"/>
    <x v="8"/>
    <x v="2"/>
    <x v="3"/>
    <x v="9"/>
    <x v="59"/>
    <x v="8"/>
    <x v="6"/>
    <x v="62"/>
    <x v="0"/>
    <x v="0"/>
    <x v="7"/>
    <x v="5"/>
    <x v="2"/>
    <x v="1"/>
  </r>
  <r>
    <x v="69"/>
    <x v="65"/>
    <x v="2"/>
    <x v="6"/>
    <x v="2"/>
    <x v="2"/>
    <x v="6"/>
    <x v="60"/>
    <x v="0"/>
    <x v="1"/>
    <x v="63"/>
    <x v="0"/>
    <x v="1"/>
    <x v="2"/>
    <x v="2"/>
    <x v="0"/>
    <x v="33"/>
  </r>
  <r>
    <x v="70"/>
    <x v="66"/>
    <x v="5"/>
    <x v="0"/>
    <x v="0"/>
    <x v="2"/>
    <x v="0"/>
    <x v="61"/>
    <x v="1"/>
    <x v="2"/>
    <x v="26"/>
    <x v="1"/>
    <x v="2"/>
    <x v="5"/>
    <x v="5"/>
    <x v="0"/>
    <x v="10"/>
  </r>
  <r>
    <x v="71"/>
    <x v="67"/>
    <x v="8"/>
    <x v="11"/>
    <x v="0"/>
    <x v="3"/>
    <x v="12"/>
    <x v="62"/>
    <x v="9"/>
    <x v="6"/>
    <x v="64"/>
    <x v="2"/>
    <x v="0"/>
    <x v="8"/>
    <x v="7"/>
    <x v="2"/>
    <x v="1"/>
  </r>
  <r>
    <x v="72"/>
    <x v="68"/>
    <x v="1"/>
    <x v="3"/>
    <x v="3"/>
    <x v="2"/>
    <x v="3"/>
    <x v="5"/>
    <x v="10"/>
    <x v="2"/>
    <x v="65"/>
    <x v="1"/>
    <x v="2"/>
    <x v="1"/>
    <x v="1"/>
    <x v="0"/>
    <x v="17"/>
  </r>
  <r>
    <x v="73"/>
    <x v="69"/>
    <x v="12"/>
    <x v="8"/>
    <x v="2"/>
    <x v="0"/>
    <x v="9"/>
    <x v="63"/>
    <x v="8"/>
    <x v="2"/>
    <x v="66"/>
    <x v="0"/>
    <x v="2"/>
    <x v="12"/>
    <x v="11"/>
    <x v="0"/>
    <x v="24"/>
  </r>
  <r>
    <x v="74"/>
    <x v="35"/>
    <x v="4"/>
    <x v="0"/>
    <x v="0"/>
    <x v="4"/>
    <x v="0"/>
    <x v="0"/>
    <x v="8"/>
    <x v="2"/>
    <x v="34"/>
    <x v="0"/>
    <x v="2"/>
    <x v="4"/>
    <x v="4"/>
    <x v="0"/>
    <x v="16"/>
  </r>
  <r>
    <x v="75"/>
    <x v="70"/>
    <x v="8"/>
    <x v="11"/>
    <x v="0"/>
    <x v="2"/>
    <x v="12"/>
    <x v="64"/>
    <x v="0"/>
    <x v="7"/>
    <x v="67"/>
    <x v="0"/>
    <x v="2"/>
    <x v="8"/>
    <x v="7"/>
    <x v="0"/>
    <x v="14"/>
  </r>
  <r>
    <x v="76"/>
    <x v="45"/>
    <x v="3"/>
    <x v="2"/>
    <x v="2"/>
    <x v="0"/>
    <x v="2"/>
    <x v="65"/>
    <x v="0"/>
    <x v="6"/>
    <x v="44"/>
    <x v="0"/>
    <x v="0"/>
    <x v="3"/>
    <x v="3"/>
    <x v="0"/>
    <x v="31"/>
  </r>
  <r>
    <x v="77"/>
    <x v="71"/>
    <x v="13"/>
    <x v="9"/>
    <x v="2"/>
    <x v="0"/>
    <x v="10"/>
    <x v="66"/>
    <x v="8"/>
    <x v="3"/>
    <x v="68"/>
    <x v="0"/>
    <x v="1"/>
    <x v="13"/>
    <x v="5"/>
    <x v="0"/>
    <x v="9"/>
  </r>
  <r>
    <x v="78"/>
    <x v="72"/>
    <x v="1"/>
    <x v="11"/>
    <x v="0"/>
    <x v="2"/>
    <x v="12"/>
    <x v="67"/>
    <x v="9"/>
    <x v="2"/>
    <x v="69"/>
    <x v="2"/>
    <x v="2"/>
    <x v="1"/>
    <x v="1"/>
    <x v="0"/>
    <x v="14"/>
  </r>
  <r>
    <x v="79"/>
    <x v="8"/>
    <x v="3"/>
    <x v="2"/>
    <x v="2"/>
    <x v="3"/>
    <x v="2"/>
    <x v="68"/>
    <x v="8"/>
    <x v="6"/>
    <x v="7"/>
    <x v="0"/>
    <x v="0"/>
    <x v="3"/>
    <x v="3"/>
    <x v="2"/>
    <x v="1"/>
  </r>
  <r>
    <x v="80"/>
    <x v="73"/>
    <x v="11"/>
    <x v="11"/>
    <x v="0"/>
    <x v="3"/>
    <x v="12"/>
    <x v="69"/>
    <x v="3"/>
    <x v="5"/>
    <x v="70"/>
    <x v="2"/>
    <x v="0"/>
    <x v="11"/>
    <x v="10"/>
    <x v="2"/>
    <x v="1"/>
  </r>
  <r>
    <x v="81"/>
    <x v="74"/>
    <x v="10"/>
    <x v="10"/>
    <x v="0"/>
    <x v="0"/>
    <x v="11"/>
    <x v="57"/>
    <x v="4"/>
    <x v="6"/>
    <x v="71"/>
    <x v="3"/>
    <x v="0"/>
    <x v="10"/>
    <x v="9"/>
    <x v="0"/>
    <x v="11"/>
  </r>
  <r>
    <x v="82"/>
    <x v="75"/>
    <x v="7"/>
    <x v="6"/>
    <x v="2"/>
    <x v="2"/>
    <x v="6"/>
    <x v="69"/>
    <x v="8"/>
    <x v="2"/>
    <x v="72"/>
    <x v="0"/>
    <x v="2"/>
    <x v="7"/>
    <x v="5"/>
    <x v="0"/>
    <x v="33"/>
  </r>
  <r>
    <x v="83"/>
    <x v="76"/>
    <x v="3"/>
    <x v="0"/>
    <x v="0"/>
    <x v="0"/>
    <x v="1"/>
    <x v="16"/>
    <x v="3"/>
    <x v="3"/>
    <x v="73"/>
    <x v="2"/>
    <x v="1"/>
    <x v="3"/>
    <x v="3"/>
    <x v="1"/>
    <x v="1"/>
  </r>
  <r>
    <x v="84"/>
    <x v="77"/>
    <x v="3"/>
    <x v="5"/>
    <x v="4"/>
    <x v="0"/>
    <x v="5"/>
    <x v="70"/>
    <x v="6"/>
    <x v="3"/>
    <x v="74"/>
    <x v="1"/>
    <x v="1"/>
    <x v="3"/>
    <x v="3"/>
    <x v="0"/>
    <x v="3"/>
  </r>
  <r>
    <x v="85"/>
    <x v="78"/>
    <x v="12"/>
    <x v="9"/>
    <x v="2"/>
    <x v="2"/>
    <x v="10"/>
    <x v="71"/>
    <x v="9"/>
    <x v="2"/>
    <x v="21"/>
    <x v="2"/>
    <x v="2"/>
    <x v="12"/>
    <x v="11"/>
    <x v="0"/>
    <x v="13"/>
  </r>
  <r>
    <x v="86"/>
    <x v="79"/>
    <x v="12"/>
    <x v="8"/>
    <x v="2"/>
    <x v="2"/>
    <x v="9"/>
    <x v="72"/>
    <x v="6"/>
    <x v="2"/>
    <x v="75"/>
    <x v="1"/>
    <x v="2"/>
    <x v="12"/>
    <x v="11"/>
    <x v="0"/>
    <x v="20"/>
  </r>
  <r>
    <x v="87"/>
    <x v="47"/>
    <x v="14"/>
    <x v="4"/>
    <x v="4"/>
    <x v="1"/>
    <x v="4"/>
    <x v="73"/>
    <x v="0"/>
    <x v="2"/>
    <x v="46"/>
    <x v="0"/>
    <x v="2"/>
    <x v="14"/>
    <x v="12"/>
    <x v="0"/>
    <x v="19"/>
  </r>
  <r>
    <x v="88"/>
    <x v="80"/>
    <x v="3"/>
    <x v="1"/>
    <x v="1"/>
    <x v="2"/>
    <x v="8"/>
    <x v="11"/>
    <x v="3"/>
    <x v="1"/>
    <x v="76"/>
    <x v="2"/>
    <x v="1"/>
    <x v="3"/>
    <x v="3"/>
    <x v="0"/>
    <x v="6"/>
  </r>
  <r>
    <x v="89"/>
    <x v="68"/>
    <x v="11"/>
    <x v="4"/>
    <x v="4"/>
    <x v="1"/>
    <x v="4"/>
    <x v="43"/>
    <x v="6"/>
    <x v="4"/>
    <x v="65"/>
    <x v="1"/>
    <x v="1"/>
    <x v="11"/>
    <x v="10"/>
    <x v="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7"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3"/>
        <item x="0"/>
        <item x="1"/>
        <item x="2"/>
        <item t="default"/>
      </items>
    </pivotField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" fld="16" baseField="0" baseItem="0"/>
  </dataFields>
  <formats count="3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7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8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dataField="1" compact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" fld="1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zoomScale="61" zoomScaleNormal="61" workbookViewId="0">
      <selection activeCell="A30" sqref="A30"/>
    </sheetView>
  </sheetViews>
  <sheetFormatPr defaultColWidth="8.68181818181818" defaultRowHeight="14.5" outlineLevelCol="5"/>
  <cols>
    <col min="1" max="1" width="100" customWidth="1"/>
  </cols>
  <sheetData>
    <row r="1" ht="20" spans="1:6">
      <c r="A1" s="7" t="s">
        <v>0</v>
      </c>
      <c r="B1" s="7"/>
      <c r="C1" s="7"/>
      <c r="D1" s="7"/>
      <c r="E1" s="7"/>
      <c r="F1" s="7"/>
    </row>
    <row r="3" ht="15.5" spans="1:1">
      <c r="A3" s="8" t="s">
        <v>1</v>
      </c>
    </row>
    <row r="4" ht="60" customHeight="1" spans="1:6">
      <c r="A4" s="9" t="s">
        <v>2</v>
      </c>
      <c r="B4" s="9"/>
      <c r="C4" s="9"/>
      <c r="D4" s="9"/>
      <c r="E4" s="9"/>
      <c r="F4" s="9"/>
    </row>
    <row r="6" ht="15.5" spans="1:1">
      <c r="A6" s="8" t="s">
        <v>3</v>
      </c>
    </row>
    <row r="7" spans="1:6">
      <c r="A7" s="9" t="s">
        <v>4</v>
      </c>
      <c r="B7" s="9"/>
      <c r="C7" s="9"/>
      <c r="D7" s="9"/>
      <c r="E7" s="9"/>
      <c r="F7" s="9"/>
    </row>
    <row r="8" spans="1:6">
      <c r="A8" s="9" t="s">
        <v>5</v>
      </c>
      <c r="B8" s="9"/>
      <c r="C8" s="9"/>
      <c r="D8" s="9"/>
      <c r="E8" s="9"/>
      <c r="F8" s="9"/>
    </row>
    <row r="9" spans="1:6">
      <c r="A9" s="9" t="s">
        <v>6</v>
      </c>
      <c r="B9" s="9"/>
      <c r="C9" s="9"/>
      <c r="D9" s="9"/>
      <c r="E9" s="9"/>
      <c r="F9" s="9"/>
    </row>
    <row r="10" spans="1:6">
      <c r="A10" s="9" t="s">
        <v>7</v>
      </c>
      <c r="B10" s="9"/>
      <c r="C10" s="9"/>
      <c r="D10" s="9"/>
      <c r="E10" s="9"/>
      <c r="F10" s="9"/>
    </row>
    <row r="11" spans="1:6">
      <c r="A11" s="9" t="s">
        <v>8</v>
      </c>
      <c r="B11" s="9"/>
      <c r="C11" s="9"/>
      <c r="D11" s="9"/>
      <c r="E11" s="9"/>
      <c r="F11" s="9"/>
    </row>
    <row r="12" spans="1:6">
      <c r="A12" s="9" t="s">
        <v>9</v>
      </c>
      <c r="B12" s="9"/>
      <c r="C12" s="9"/>
      <c r="D12" s="9"/>
      <c r="E12" s="9"/>
      <c r="F12" s="9"/>
    </row>
    <row r="13" spans="1:6">
      <c r="A13" s="9" t="s">
        <v>10</v>
      </c>
      <c r="B13" s="9"/>
      <c r="C13" s="9"/>
      <c r="D13" s="9"/>
      <c r="E13" s="9"/>
      <c r="F13" s="9"/>
    </row>
    <row r="14" spans="1:6">
      <c r="A14" s="9" t="s">
        <v>11</v>
      </c>
      <c r="B14" s="9"/>
      <c r="C14" s="9"/>
      <c r="D14" s="9"/>
      <c r="E14" s="9"/>
      <c r="F14" s="9"/>
    </row>
    <row r="15" spans="1:6">
      <c r="A15" s="9" t="s">
        <v>12</v>
      </c>
      <c r="B15" s="9"/>
      <c r="C15" s="9"/>
      <c r="D15" s="9"/>
      <c r="E15" s="9"/>
      <c r="F15" s="9"/>
    </row>
    <row r="17" spans="1:6">
      <c r="A17" s="10" t="s">
        <v>13</v>
      </c>
      <c r="B17" s="10"/>
      <c r="C17" s="10"/>
      <c r="D17" s="10"/>
      <c r="E17" s="10"/>
      <c r="F17" s="10"/>
    </row>
  </sheetData>
  <mergeCells count="12">
    <mergeCell ref="A1:F1"/>
    <mergeCell ref="A4:F4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zoomScale="40" zoomScaleNormal="40" workbookViewId="0">
      <pane ySplit="1" topLeftCell="A46" activePane="bottomLeft" state="frozen"/>
      <selection/>
      <selection pane="bottomLeft" activeCell="L46" sqref="L46"/>
    </sheetView>
  </sheetViews>
  <sheetFormatPr defaultColWidth="8.68181818181818" defaultRowHeight="14.5"/>
  <cols>
    <col min="1" max="1" width="10" customWidth="1"/>
    <col min="2" max="2" width="22" customWidth="1"/>
    <col min="3" max="3" width="20" customWidth="1"/>
    <col min="4" max="4" width="22" customWidth="1"/>
    <col min="5" max="5" width="18" customWidth="1"/>
    <col min="6" max="6" width="10" customWidth="1"/>
    <col min="7" max="7" width="16" customWidth="1"/>
    <col min="8" max="8" width="14" style="2" customWidth="1"/>
    <col min="9" max="9" width="16" customWidth="1"/>
    <col min="10" max="10" width="20" customWidth="1"/>
    <col min="11" max="11" width="20.7545454545455" customWidth="1"/>
    <col min="12" max="12" width="25.3727272727273" customWidth="1"/>
    <col min="13" max="13" width="17.1" customWidth="1"/>
    <col min="14" max="14" width="14.1090909090909" customWidth="1"/>
    <col min="15" max="15" width="12.2090909090909" customWidth="1"/>
    <col min="16" max="16" width="69.9454545454546" customWidth="1"/>
    <col min="17" max="17" width="23.0909090909091" customWidth="1"/>
  </cols>
  <sheetData>
    <row r="1" spans="1:17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4" t="s">
        <v>21</v>
      </c>
      <c r="I1" s="3" t="s">
        <v>22</v>
      </c>
      <c r="J1" s="3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s="6" t="s">
        <v>30</v>
      </c>
    </row>
    <row r="2" spans="1:17">
      <c r="A2">
        <v>1004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>
        <v>19500</v>
      </c>
      <c r="H2" s="5">
        <v>46071</v>
      </c>
      <c r="I2" t="s">
        <v>35</v>
      </c>
      <c r="J2" t="s">
        <v>36</v>
      </c>
      <c r="K2" t="str">
        <f>PROPER(TRIM(B2))</f>
        <v>Ibrahim Eze</v>
      </c>
      <c r="L2" t="str">
        <f>UPPER(TRIM(I2))</f>
        <v>BANK TRANSFER</v>
      </c>
      <c r="M2" t="str">
        <f>PROPER(TRIM(J2))</f>
        <v>Chinedu Okoye</v>
      </c>
      <c r="N2" t="s">
        <v>37</v>
      </c>
      <c r="O2" t="s">
        <v>38</v>
      </c>
      <c r="Q2">
        <f>IF(OR(F2="",G2=""),"",F2*G2)</f>
        <v>19500</v>
      </c>
    </row>
    <row r="3" spans="1:17">
      <c r="A3">
        <v>1040</v>
      </c>
      <c r="B3" t="s">
        <v>39</v>
      </c>
      <c r="C3" t="s">
        <v>40</v>
      </c>
      <c r="D3" t="s">
        <v>41</v>
      </c>
      <c r="E3" t="s">
        <v>42</v>
      </c>
      <c r="F3">
        <v>4</v>
      </c>
      <c r="H3" s="5">
        <v>46138</v>
      </c>
      <c r="I3" t="s">
        <v>43</v>
      </c>
      <c r="J3" t="s">
        <v>44</v>
      </c>
      <c r="K3" t="str">
        <f t="shared" ref="K3:K66" si="0">PROPER(TRIM(B3))</f>
        <v>Ibrahim Yusuf</v>
      </c>
      <c r="L3" t="str">
        <f t="shared" ref="L3:L66" si="1">UPPER(TRIM(I3))</f>
        <v>CASH</v>
      </c>
      <c r="M3" t="str">
        <f t="shared" ref="M3:M66" si="2">PROPER(TRIM(J3))</f>
        <v>Tobi Adewale</v>
      </c>
      <c r="N3" t="s">
        <v>45</v>
      </c>
      <c r="O3" t="s">
        <v>46</v>
      </c>
      <c r="P3" t="s">
        <v>47</v>
      </c>
      <c r="Q3" t="str">
        <f t="shared" ref="Q3:Q34" si="3">IF(OR(F3="",G3=""),"",F3*G3)</f>
        <v/>
      </c>
    </row>
    <row r="4" spans="1:17">
      <c r="A4">
        <v>1041</v>
      </c>
      <c r="B4" t="s">
        <v>48</v>
      </c>
      <c r="C4" t="s">
        <v>49</v>
      </c>
      <c r="D4" t="s">
        <v>50</v>
      </c>
      <c r="E4" t="s">
        <v>51</v>
      </c>
      <c r="F4">
        <v>2</v>
      </c>
      <c r="G4">
        <v>15000</v>
      </c>
      <c r="H4" s="5">
        <v>46225</v>
      </c>
      <c r="I4" t="s">
        <v>43</v>
      </c>
      <c r="J4" t="s">
        <v>52</v>
      </c>
      <c r="K4" t="str">
        <f t="shared" si="0"/>
        <v>Segun Abubakar</v>
      </c>
      <c r="L4" t="str">
        <f t="shared" si="1"/>
        <v>CASH</v>
      </c>
      <c r="M4" t="str">
        <f t="shared" si="2"/>
        <v>Rasheedat Bello</v>
      </c>
      <c r="N4" t="s">
        <v>53</v>
      </c>
      <c r="O4" t="s">
        <v>54</v>
      </c>
      <c r="Q4">
        <f t="shared" si="3"/>
        <v>30000</v>
      </c>
    </row>
    <row r="5" spans="1:17">
      <c r="A5">
        <v>1085</v>
      </c>
      <c r="B5" t="s">
        <v>55</v>
      </c>
      <c r="C5" t="s">
        <v>56</v>
      </c>
      <c r="D5" t="s">
        <v>57</v>
      </c>
      <c r="E5" t="s">
        <v>58</v>
      </c>
      <c r="G5">
        <v>27000</v>
      </c>
      <c r="H5" s="5">
        <v>46249</v>
      </c>
      <c r="I5" t="s">
        <v>59</v>
      </c>
      <c r="J5" t="s">
        <v>36</v>
      </c>
      <c r="K5" t="str">
        <f t="shared" si="0"/>
        <v>Chidinma Balogun</v>
      </c>
      <c r="L5" t="str">
        <f t="shared" si="1"/>
        <v>CARD</v>
      </c>
      <c r="M5" t="str">
        <f t="shared" si="2"/>
        <v>Chinedu Okoye</v>
      </c>
      <c r="N5" t="s">
        <v>60</v>
      </c>
      <c r="O5" t="s">
        <v>61</v>
      </c>
      <c r="P5" t="s">
        <v>62</v>
      </c>
      <c r="Q5" t="str">
        <f t="shared" si="3"/>
        <v/>
      </c>
    </row>
    <row r="6" spans="1:17">
      <c r="A6">
        <v>1009</v>
      </c>
      <c r="B6" t="s">
        <v>63</v>
      </c>
      <c r="C6" t="s">
        <v>64</v>
      </c>
      <c r="D6" t="s">
        <v>65</v>
      </c>
      <c r="E6" t="s">
        <v>66</v>
      </c>
      <c r="G6">
        <v>5000</v>
      </c>
      <c r="H6" s="5">
        <v>46255</v>
      </c>
      <c r="I6" t="s">
        <v>67</v>
      </c>
      <c r="J6" t="s">
        <v>68</v>
      </c>
      <c r="K6" t="str">
        <f t="shared" si="0"/>
        <v>Amaka Musa</v>
      </c>
      <c r="L6" t="str">
        <f t="shared" si="1"/>
        <v>CARD</v>
      </c>
      <c r="M6" t="str">
        <f t="shared" si="2"/>
        <v>Tobi Adewale</v>
      </c>
      <c r="N6" t="s">
        <v>69</v>
      </c>
      <c r="O6" t="s">
        <v>70</v>
      </c>
      <c r="P6" t="s">
        <v>62</v>
      </c>
      <c r="Q6" t="str">
        <f t="shared" si="3"/>
        <v/>
      </c>
    </row>
    <row r="7" spans="1:17">
      <c r="A7">
        <v>1006</v>
      </c>
      <c r="B7" t="s">
        <v>71</v>
      </c>
      <c r="C7" t="s">
        <v>49</v>
      </c>
      <c r="D7" t="s">
        <v>72</v>
      </c>
      <c r="E7" t="s">
        <v>66</v>
      </c>
      <c r="F7">
        <v>1</v>
      </c>
      <c r="G7">
        <v>5500</v>
      </c>
      <c r="H7" s="5">
        <v>46208</v>
      </c>
      <c r="I7" t="s">
        <v>73</v>
      </c>
      <c r="J7" t="s">
        <v>44</v>
      </c>
      <c r="K7" t="str">
        <f t="shared" si="0"/>
        <v>Kemi Balogun</v>
      </c>
      <c r="L7" t="str">
        <f t="shared" si="1"/>
        <v>POS</v>
      </c>
      <c r="M7" t="str">
        <f t="shared" si="2"/>
        <v>Tobi Adewale</v>
      </c>
      <c r="N7" t="s">
        <v>53</v>
      </c>
      <c r="O7" t="s">
        <v>54</v>
      </c>
      <c r="Q7">
        <f t="shared" si="3"/>
        <v>5500</v>
      </c>
    </row>
    <row r="8" spans="1:17">
      <c r="A8">
        <v>1090</v>
      </c>
      <c r="B8" t="s">
        <v>74</v>
      </c>
      <c r="C8" t="s">
        <v>56</v>
      </c>
      <c r="D8" t="s">
        <v>75</v>
      </c>
      <c r="E8" t="s">
        <v>51</v>
      </c>
      <c r="F8">
        <v>1</v>
      </c>
      <c r="G8">
        <v>14000</v>
      </c>
      <c r="H8" s="5">
        <v>46150</v>
      </c>
      <c r="I8" t="s">
        <v>76</v>
      </c>
      <c r="J8" t="s">
        <v>44</v>
      </c>
      <c r="K8" t="str">
        <f t="shared" si="0"/>
        <v>Kemi Eze</v>
      </c>
      <c r="L8" t="str">
        <f t="shared" si="1"/>
        <v>POS</v>
      </c>
      <c r="M8" t="str">
        <f t="shared" si="2"/>
        <v>Tobi Adewale</v>
      </c>
      <c r="N8" t="s">
        <v>60</v>
      </c>
      <c r="O8" t="s">
        <v>61</v>
      </c>
      <c r="Q8">
        <f t="shared" si="3"/>
        <v>14000</v>
      </c>
    </row>
    <row r="9" spans="1:17">
      <c r="A9">
        <v>1035</v>
      </c>
      <c r="B9" t="s">
        <v>77</v>
      </c>
      <c r="C9" t="s">
        <v>32</v>
      </c>
      <c r="D9" t="s">
        <v>78</v>
      </c>
      <c r="E9" t="s">
        <v>42</v>
      </c>
      <c r="F9">
        <v>1</v>
      </c>
      <c r="G9">
        <v>17500</v>
      </c>
      <c r="H9" s="5">
        <v>46089</v>
      </c>
      <c r="I9" t="s">
        <v>43</v>
      </c>
      <c r="J9" t="s">
        <v>79</v>
      </c>
      <c r="K9" t="str">
        <f t="shared" si="0"/>
        <v>Ibrahim Eze</v>
      </c>
      <c r="L9" t="str">
        <f t="shared" si="1"/>
        <v>CASH</v>
      </c>
      <c r="M9" t="str">
        <f t="shared" si="2"/>
        <v>Tobi Adewale</v>
      </c>
      <c r="N9" t="s">
        <v>37</v>
      </c>
      <c r="O9" t="s">
        <v>38</v>
      </c>
      <c r="Q9">
        <f t="shared" si="3"/>
        <v>17500</v>
      </c>
    </row>
    <row r="10" spans="1:17">
      <c r="A10">
        <v>1014</v>
      </c>
      <c r="B10" t="s">
        <v>80</v>
      </c>
      <c r="C10" t="s">
        <v>81</v>
      </c>
      <c r="D10" t="s">
        <v>72</v>
      </c>
      <c r="E10" t="s">
        <v>66</v>
      </c>
      <c r="F10">
        <v>1</v>
      </c>
      <c r="G10">
        <v>5500</v>
      </c>
      <c r="H10" s="5">
        <v>46047</v>
      </c>
      <c r="I10" t="s">
        <v>59</v>
      </c>
      <c r="J10" t="s">
        <v>82</v>
      </c>
      <c r="K10" t="str">
        <f t="shared" si="0"/>
        <v>Femi Abubakar</v>
      </c>
      <c r="L10" t="str">
        <f t="shared" si="1"/>
        <v>CARD</v>
      </c>
      <c r="M10" t="str">
        <f t="shared" si="2"/>
        <v>Chinedu Okoye</v>
      </c>
      <c r="N10" t="s">
        <v>83</v>
      </c>
      <c r="O10" t="s">
        <v>84</v>
      </c>
      <c r="Q10">
        <f t="shared" si="3"/>
        <v>5500</v>
      </c>
    </row>
    <row r="11" spans="1:17">
      <c r="A11">
        <v>1054</v>
      </c>
      <c r="B11" t="s">
        <v>85</v>
      </c>
      <c r="C11" t="s">
        <v>81</v>
      </c>
      <c r="D11" t="s">
        <v>41</v>
      </c>
      <c r="E11" t="s">
        <v>42</v>
      </c>
      <c r="F11">
        <v>2</v>
      </c>
      <c r="G11">
        <v>18500</v>
      </c>
      <c r="H11" s="5">
        <v>46241</v>
      </c>
      <c r="I11" t="s">
        <v>59</v>
      </c>
      <c r="J11" t="s">
        <v>86</v>
      </c>
      <c r="K11" t="str">
        <f t="shared" si="0"/>
        <v>Ngozi Adeleke</v>
      </c>
      <c r="L11" t="str">
        <f t="shared" si="1"/>
        <v>CARD</v>
      </c>
      <c r="M11" t="str">
        <f t="shared" si="2"/>
        <v>Chinedu Okoye</v>
      </c>
      <c r="N11" t="s">
        <v>83</v>
      </c>
      <c r="O11" t="s">
        <v>84</v>
      </c>
      <c r="Q11">
        <f t="shared" si="3"/>
        <v>37000</v>
      </c>
    </row>
    <row r="12" spans="1:17">
      <c r="A12">
        <v>1028</v>
      </c>
      <c r="B12" t="s">
        <v>87</v>
      </c>
      <c r="C12" t="s">
        <v>88</v>
      </c>
      <c r="D12" t="s">
        <v>72</v>
      </c>
      <c r="E12" t="s">
        <v>66</v>
      </c>
      <c r="F12">
        <v>1</v>
      </c>
      <c r="G12"/>
      <c r="H12" s="5">
        <v>46073</v>
      </c>
      <c r="I12" t="s">
        <v>89</v>
      </c>
      <c r="J12" t="s">
        <v>90</v>
      </c>
      <c r="K12" t="str">
        <f t="shared" si="0"/>
        <v>Ngozi Chukwu</v>
      </c>
      <c r="L12" t="str">
        <f t="shared" si="1"/>
        <v>CASH</v>
      </c>
      <c r="M12" t="str">
        <f t="shared" si="2"/>
        <v>Rasheedat Bello</v>
      </c>
      <c r="N12" t="s">
        <v>91</v>
      </c>
      <c r="O12" t="s">
        <v>92</v>
      </c>
      <c r="P12" t="s">
        <v>47</v>
      </c>
      <c r="Q12" t="str">
        <f t="shared" si="3"/>
        <v/>
      </c>
    </row>
    <row r="13" spans="1:17">
      <c r="A13">
        <v>1039</v>
      </c>
      <c r="B13" t="s">
        <v>93</v>
      </c>
      <c r="C13" t="s">
        <v>94</v>
      </c>
      <c r="D13" t="s">
        <v>50</v>
      </c>
      <c r="E13" t="s">
        <v>51</v>
      </c>
      <c r="F13">
        <v>4</v>
      </c>
      <c r="G13">
        <v>15000</v>
      </c>
      <c r="H13" s="5">
        <v>46199</v>
      </c>
      <c r="I13" t="s">
        <v>95</v>
      </c>
      <c r="J13" t="s">
        <v>36</v>
      </c>
      <c r="K13" t="str">
        <f t="shared" si="0"/>
        <v>Tunde Abubakar</v>
      </c>
      <c r="L13" t="str">
        <f t="shared" si="1"/>
        <v>POS</v>
      </c>
      <c r="M13" t="str">
        <f t="shared" si="2"/>
        <v>Chinedu Okoye</v>
      </c>
      <c r="N13" t="s">
        <v>96</v>
      </c>
      <c r="O13" t="s">
        <v>84</v>
      </c>
      <c r="P13"/>
      <c r="Q13">
        <f t="shared" si="3"/>
        <v>60000</v>
      </c>
    </row>
    <row r="14" spans="1:17">
      <c r="A14">
        <v>1003</v>
      </c>
      <c r="B14" t="s">
        <v>97</v>
      </c>
      <c r="C14" t="s">
        <v>98</v>
      </c>
      <c r="D14" t="s">
        <v>99</v>
      </c>
      <c r="E14" t="s">
        <v>51</v>
      </c>
      <c r="F14">
        <v>3</v>
      </c>
      <c r="G14">
        <v>13500</v>
      </c>
      <c r="H14" s="5">
        <v>46180</v>
      </c>
      <c r="I14" t="s">
        <v>35</v>
      </c>
      <c r="J14" t="s">
        <v>86</v>
      </c>
      <c r="K14" t="str">
        <f t="shared" si="0"/>
        <v>Chidinma Obi</v>
      </c>
      <c r="L14" t="str">
        <f t="shared" si="1"/>
        <v>BANK TRANSFER</v>
      </c>
      <c r="M14" t="str">
        <f t="shared" si="2"/>
        <v>Chinedu Okoye</v>
      </c>
      <c r="N14" t="s">
        <v>100</v>
      </c>
      <c r="O14" t="s">
        <v>101</v>
      </c>
      <c r="Q14">
        <f t="shared" si="3"/>
        <v>40500</v>
      </c>
    </row>
    <row r="15" spans="1:17">
      <c r="A15">
        <v>1056</v>
      </c>
      <c r="B15" t="s">
        <v>102</v>
      </c>
      <c r="C15" t="s">
        <v>64</v>
      </c>
      <c r="D15" t="s">
        <v>103</v>
      </c>
      <c r="E15" t="s">
        <v>51</v>
      </c>
      <c r="F15">
        <v>1</v>
      </c>
      <c r="G15">
        <v>12000</v>
      </c>
      <c r="H15" s="5">
        <v>46089</v>
      </c>
      <c r="I15" t="s">
        <v>73</v>
      </c>
      <c r="J15" t="s">
        <v>44</v>
      </c>
      <c r="K15" t="str">
        <f t="shared" si="0"/>
        <v>Emeka Obi</v>
      </c>
      <c r="L15" t="str">
        <f t="shared" si="1"/>
        <v>POS</v>
      </c>
      <c r="M15" t="str">
        <f t="shared" si="2"/>
        <v>Tobi Adewale</v>
      </c>
      <c r="N15" t="s">
        <v>69</v>
      </c>
      <c r="O15" t="s">
        <v>70</v>
      </c>
      <c r="Q15">
        <f t="shared" si="3"/>
        <v>12000</v>
      </c>
    </row>
    <row r="16" spans="1:17">
      <c r="A16">
        <v>1012</v>
      </c>
      <c r="B16" t="s">
        <v>104</v>
      </c>
      <c r="C16" t="s">
        <v>105</v>
      </c>
      <c r="D16" t="s">
        <v>33</v>
      </c>
      <c r="E16" t="s">
        <v>34</v>
      </c>
      <c r="F16">
        <v>1</v>
      </c>
      <c r="G16">
        <v>19500</v>
      </c>
      <c r="H16" s="5">
        <v>46117</v>
      </c>
      <c r="I16" t="s">
        <v>59</v>
      </c>
      <c r="J16" t="s">
        <v>44</v>
      </c>
      <c r="K16" t="str">
        <f t="shared" si="0"/>
        <v>Kemi Abubakar</v>
      </c>
      <c r="L16" t="str">
        <f t="shared" si="1"/>
        <v>CARD</v>
      </c>
      <c r="M16" t="str">
        <f t="shared" si="2"/>
        <v>Tobi Adewale</v>
      </c>
      <c r="N16" t="s">
        <v>106</v>
      </c>
      <c r="O16" t="s">
        <v>107</v>
      </c>
      <c r="Q16">
        <f t="shared" si="3"/>
        <v>19500</v>
      </c>
    </row>
    <row r="17" spans="1:17">
      <c r="A17">
        <v>1074</v>
      </c>
      <c r="B17" t="s">
        <v>108</v>
      </c>
      <c r="C17" t="s">
        <v>109</v>
      </c>
      <c r="D17" t="s">
        <v>33</v>
      </c>
      <c r="E17" t="s">
        <v>34</v>
      </c>
      <c r="F17">
        <v>2</v>
      </c>
      <c r="G17">
        <v>19500</v>
      </c>
      <c r="H17" s="5">
        <v>46130</v>
      </c>
      <c r="I17" t="s">
        <v>110</v>
      </c>
      <c r="J17" t="s">
        <v>52</v>
      </c>
      <c r="K17" t="str">
        <f t="shared" si="0"/>
        <v>Folake Chukwu</v>
      </c>
      <c r="L17" t="str">
        <f t="shared" si="1"/>
        <v>BANK TRANSFER</v>
      </c>
      <c r="M17" t="str">
        <f t="shared" si="2"/>
        <v>Rasheedat Bello</v>
      </c>
      <c r="N17" t="s">
        <v>111</v>
      </c>
      <c r="O17" t="s">
        <v>112</v>
      </c>
      <c r="Q17">
        <f t="shared" si="3"/>
        <v>39000</v>
      </c>
    </row>
    <row r="18" spans="1:17">
      <c r="A18">
        <v>1034</v>
      </c>
      <c r="B18" t="s">
        <v>113</v>
      </c>
      <c r="C18" t="s">
        <v>114</v>
      </c>
      <c r="D18" t="s">
        <v>115</v>
      </c>
      <c r="E18" t="s">
        <v>34</v>
      </c>
      <c r="F18">
        <v>1</v>
      </c>
      <c r="G18">
        <v>16500</v>
      </c>
      <c r="H18" s="5">
        <v>46048</v>
      </c>
      <c r="I18" t="s">
        <v>116</v>
      </c>
      <c r="J18" t="s">
        <v>90</v>
      </c>
      <c r="K18" t="str">
        <f t="shared" si="0"/>
        <v>Uche Ogundipe</v>
      </c>
      <c r="L18" t="str">
        <f t="shared" si="1"/>
        <v>CARD</v>
      </c>
      <c r="M18" t="str">
        <f t="shared" si="2"/>
        <v>Rasheedat Bello</v>
      </c>
      <c r="N18" t="s">
        <v>117</v>
      </c>
      <c r="O18" t="s">
        <v>118</v>
      </c>
      <c r="Q18">
        <f t="shared" si="3"/>
        <v>16500</v>
      </c>
    </row>
    <row r="19" spans="1:17">
      <c r="A19">
        <v>1013</v>
      </c>
      <c r="B19" t="s">
        <v>119</v>
      </c>
      <c r="C19" t="s">
        <v>88</v>
      </c>
      <c r="D19" t="s">
        <v>41</v>
      </c>
      <c r="E19" t="s">
        <v>42</v>
      </c>
      <c r="F19">
        <v>2</v>
      </c>
      <c r="G19">
        <v>18500</v>
      </c>
      <c r="H19" s="5">
        <v>46106</v>
      </c>
      <c r="I19" t="s">
        <v>35</v>
      </c>
      <c r="J19" t="s">
        <v>52</v>
      </c>
      <c r="K19" t="str">
        <f t="shared" si="0"/>
        <v>Zainab Yusuf</v>
      </c>
      <c r="L19" t="str">
        <f t="shared" si="1"/>
        <v>BANK TRANSFER</v>
      </c>
      <c r="M19" t="str">
        <f t="shared" si="2"/>
        <v>Rasheedat Bello</v>
      </c>
      <c r="N19" t="s">
        <v>91</v>
      </c>
      <c r="O19" t="s">
        <v>92</v>
      </c>
      <c r="Q19">
        <f t="shared" si="3"/>
        <v>37000</v>
      </c>
    </row>
    <row r="20" spans="1:17">
      <c r="A20">
        <v>1047</v>
      </c>
      <c r="B20" t="s">
        <v>120</v>
      </c>
      <c r="C20" t="s">
        <v>121</v>
      </c>
      <c r="D20" t="s">
        <v>122</v>
      </c>
      <c r="E20" t="s">
        <v>34</v>
      </c>
      <c r="F20">
        <v>3</v>
      </c>
      <c r="G20">
        <v>21000</v>
      </c>
      <c r="H20" s="5">
        <v>46218</v>
      </c>
      <c r="I20" t="s">
        <v>123</v>
      </c>
      <c r="J20" t="s">
        <v>68</v>
      </c>
      <c r="K20" t="str">
        <f t="shared" si="0"/>
        <v>Ibrahim Okonkwo</v>
      </c>
      <c r="L20" t="str">
        <f t="shared" si="1"/>
        <v>CASH</v>
      </c>
      <c r="M20" t="str">
        <f t="shared" si="2"/>
        <v>Tobi Adewale</v>
      </c>
      <c r="N20" t="s">
        <v>124</v>
      </c>
      <c r="O20" t="s">
        <v>125</v>
      </c>
      <c r="Q20">
        <f t="shared" si="3"/>
        <v>63000</v>
      </c>
    </row>
    <row r="21" spans="1:17">
      <c r="A21">
        <v>1044</v>
      </c>
      <c r="B21" t="s">
        <v>126</v>
      </c>
      <c r="C21" t="s">
        <v>127</v>
      </c>
      <c r="D21" t="s">
        <v>103</v>
      </c>
      <c r="E21" t="s">
        <v>51</v>
      </c>
      <c r="F21">
        <v>2</v>
      </c>
      <c r="G21">
        <v>12000</v>
      </c>
      <c r="H21" s="5">
        <v>46088</v>
      </c>
      <c r="I21" t="s">
        <v>128</v>
      </c>
      <c r="J21" t="s">
        <v>90</v>
      </c>
      <c r="K21" t="str">
        <f t="shared" si="0"/>
        <v>Folake Balogun</v>
      </c>
      <c r="L21" t="str">
        <f t="shared" si="1"/>
        <v>BANK TRANSFER</v>
      </c>
      <c r="M21" t="str">
        <f t="shared" si="2"/>
        <v>Rasheedat Bello</v>
      </c>
      <c r="N21" t="s">
        <v>129</v>
      </c>
      <c r="O21" t="s">
        <v>84</v>
      </c>
      <c r="Q21">
        <f t="shared" si="3"/>
        <v>24000</v>
      </c>
    </row>
    <row r="22" spans="1:17">
      <c r="A22">
        <v>1029</v>
      </c>
      <c r="B22" t="s">
        <v>130</v>
      </c>
      <c r="C22" t="s">
        <v>109</v>
      </c>
      <c r="D22" t="s">
        <v>72</v>
      </c>
      <c r="E22" t="s">
        <v>66</v>
      </c>
      <c r="F22">
        <v>1</v>
      </c>
      <c r="G22">
        <v>5500</v>
      </c>
      <c r="H22" s="5">
        <v>46154</v>
      </c>
      <c r="I22" t="s">
        <v>123</v>
      </c>
      <c r="J22" t="s">
        <v>36</v>
      </c>
      <c r="K22" t="str">
        <f t="shared" si="0"/>
        <v>Femi Balogun</v>
      </c>
      <c r="L22" t="str">
        <f t="shared" si="1"/>
        <v>CASH</v>
      </c>
      <c r="M22" t="str">
        <f t="shared" si="2"/>
        <v>Chinedu Okoye</v>
      </c>
      <c r="N22" t="s">
        <v>111</v>
      </c>
      <c r="O22" t="s">
        <v>112</v>
      </c>
      <c r="Q22">
        <f t="shared" si="3"/>
        <v>5500</v>
      </c>
    </row>
    <row r="23" spans="1:17">
      <c r="A23">
        <v>1065</v>
      </c>
      <c r="B23" t="s">
        <v>131</v>
      </c>
      <c r="C23" t="s">
        <v>88</v>
      </c>
      <c r="D23" t="s">
        <v>75</v>
      </c>
      <c r="E23" t="s">
        <v>51</v>
      </c>
      <c r="F23">
        <v>3</v>
      </c>
      <c r="G23">
        <v>14000</v>
      </c>
      <c r="H23" s="5">
        <v>46197</v>
      </c>
      <c r="I23" t="s">
        <v>76</v>
      </c>
      <c r="J23" t="s">
        <v>82</v>
      </c>
      <c r="K23" t="str">
        <f t="shared" si="0"/>
        <v>Bisi Balogun</v>
      </c>
      <c r="L23" t="str">
        <f t="shared" si="1"/>
        <v>POS</v>
      </c>
      <c r="M23" t="str">
        <f t="shared" si="2"/>
        <v>Chinedu Okoye</v>
      </c>
      <c r="N23" t="s">
        <v>91</v>
      </c>
      <c r="O23" t="s">
        <v>92</v>
      </c>
      <c r="Q23">
        <f t="shared" si="3"/>
        <v>42000</v>
      </c>
    </row>
    <row r="24" spans="1:17">
      <c r="A24">
        <v>1069</v>
      </c>
      <c r="B24" t="s">
        <v>132</v>
      </c>
      <c r="C24" t="s">
        <v>133</v>
      </c>
      <c r="D24" t="s">
        <v>115</v>
      </c>
      <c r="E24" t="s">
        <v>34</v>
      </c>
      <c r="F24">
        <v>1</v>
      </c>
      <c r="G24">
        <v>16500</v>
      </c>
      <c r="H24" s="5">
        <v>46262</v>
      </c>
      <c r="I24" t="s">
        <v>35</v>
      </c>
      <c r="J24" t="s">
        <v>86</v>
      </c>
      <c r="K24" t="str">
        <f t="shared" si="0"/>
        <v>Adaeze Okonkwo</v>
      </c>
      <c r="L24" t="str">
        <f t="shared" si="1"/>
        <v>BANK TRANSFER</v>
      </c>
      <c r="M24" t="str">
        <f t="shared" si="2"/>
        <v>Chinedu Okoye</v>
      </c>
      <c r="N24" t="s">
        <v>134</v>
      </c>
      <c r="O24" t="s">
        <v>135</v>
      </c>
      <c r="Q24">
        <f t="shared" si="3"/>
        <v>16500</v>
      </c>
    </row>
    <row r="25" spans="1:17">
      <c r="A25">
        <v>1005</v>
      </c>
      <c r="B25" t="s">
        <v>136</v>
      </c>
      <c r="C25" t="s">
        <v>32</v>
      </c>
      <c r="D25" t="s">
        <v>103</v>
      </c>
      <c r="E25" t="s">
        <v>51</v>
      </c>
      <c r="F25">
        <v>1</v>
      </c>
      <c r="G25"/>
      <c r="H25" s="5">
        <v>46150</v>
      </c>
      <c r="I25" t="s">
        <v>116</v>
      </c>
      <c r="J25" t="s">
        <v>44</v>
      </c>
      <c r="K25" t="str">
        <f t="shared" si="0"/>
        <v>Zainab Adeleke</v>
      </c>
      <c r="L25" t="str">
        <f t="shared" si="1"/>
        <v>CARD</v>
      </c>
      <c r="M25" t="str">
        <f t="shared" si="2"/>
        <v>Tobi Adewale</v>
      </c>
      <c r="N25" t="s">
        <v>37</v>
      </c>
      <c r="O25" t="s">
        <v>38</v>
      </c>
      <c r="P25" t="s">
        <v>47</v>
      </c>
      <c r="Q25" t="str">
        <f t="shared" si="3"/>
        <v/>
      </c>
    </row>
    <row r="26" spans="1:17">
      <c r="A26">
        <v>1027</v>
      </c>
      <c r="B26" t="s">
        <v>137</v>
      </c>
      <c r="C26" t="s">
        <v>49</v>
      </c>
      <c r="D26" t="s">
        <v>57</v>
      </c>
      <c r="E26" t="s">
        <v>58</v>
      </c>
      <c r="F26">
        <v>3</v>
      </c>
      <c r="G26">
        <v>27000</v>
      </c>
      <c r="H26" s="5">
        <v>46180</v>
      </c>
      <c r="I26" t="s">
        <v>67</v>
      </c>
      <c r="J26" t="s">
        <v>86</v>
      </c>
      <c r="K26" t="str">
        <f t="shared" si="0"/>
        <v>Blessing Adeyemi</v>
      </c>
      <c r="L26" t="str">
        <f t="shared" si="1"/>
        <v>CARD</v>
      </c>
      <c r="M26" t="str">
        <f t="shared" si="2"/>
        <v>Chinedu Okoye</v>
      </c>
      <c r="N26" t="s">
        <v>53</v>
      </c>
      <c r="O26" t="s">
        <v>54</v>
      </c>
      <c r="P26"/>
      <c r="Q26">
        <f t="shared" si="3"/>
        <v>81000</v>
      </c>
    </row>
    <row r="27" spans="1:17">
      <c r="A27">
        <v>1057</v>
      </c>
      <c r="B27" t="s">
        <v>138</v>
      </c>
      <c r="C27" t="s">
        <v>98</v>
      </c>
      <c r="D27" t="s">
        <v>33</v>
      </c>
      <c r="E27" t="s">
        <v>34</v>
      </c>
      <c r="F27">
        <v>3</v>
      </c>
      <c r="G27">
        <v>19500</v>
      </c>
      <c r="H27" s="5">
        <v>46073</v>
      </c>
      <c r="I27" t="s">
        <v>67</v>
      </c>
      <c r="J27" t="s">
        <v>44</v>
      </c>
      <c r="K27" t="str">
        <f t="shared" si="0"/>
        <v>Uche Nwosu</v>
      </c>
      <c r="L27" t="str">
        <f t="shared" si="1"/>
        <v>CARD</v>
      </c>
      <c r="M27" t="str">
        <f t="shared" si="2"/>
        <v>Tobi Adewale</v>
      </c>
      <c r="N27" t="s">
        <v>100</v>
      </c>
      <c r="O27" t="s">
        <v>101</v>
      </c>
      <c r="Q27">
        <f t="shared" si="3"/>
        <v>58500</v>
      </c>
    </row>
    <row r="28" spans="1:17">
      <c r="A28">
        <v>1061</v>
      </c>
      <c r="B28" t="s">
        <v>139</v>
      </c>
      <c r="C28" t="s">
        <v>32</v>
      </c>
      <c r="D28" t="s">
        <v>75</v>
      </c>
      <c r="E28" t="s">
        <v>51</v>
      </c>
      <c r="F28"/>
      <c r="G28">
        <v>14000</v>
      </c>
      <c r="H28" s="5">
        <v>46169</v>
      </c>
      <c r="I28" t="s">
        <v>116</v>
      </c>
      <c r="J28" t="s">
        <v>44</v>
      </c>
      <c r="K28" t="str">
        <f t="shared" si="0"/>
        <v>Tunde Lawal</v>
      </c>
      <c r="L28" t="str">
        <f t="shared" si="1"/>
        <v>CARD</v>
      </c>
      <c r="M28" t="str">
        <f t="shared" si="2"/>
        <v>Tobi Adewale</v>
      </c>
      <c r="N28" t="s">
        <v>37</v>
      </c>
      <c r="O28" t="s">
        <v>38</v>
      </c>
      <c r="P28" t="s">
        <v>62</v>
      </c>
      <c r="Q28" t="str">
        <f t="shared" si="3"/>
        <v/>
      </c>
    </row>
    <row r="29" spans="1:17">
      <c r="A29">
        <v>1089</v>
      </c>
      <c r="B29" t="s">
        <v>140</v>
      </c>
      <c r="C29" t="s">
        <v>121</v>
      </c>
      <c r="D29" t="s">
        <v>33</v>
      </c>
      <c r="E29" t="s">
        <v>34</v>
      </c>
      <c r="F29">
        <v>3</v>
      </c>
      <c r="G29">
        <v>19500</v>
      </c>
      <c r="H29" s="5">
        <v>46066</v>
      </c>
      <c r="I29" t="s">
        <v>73</v>
      </c>
      <c r="J29" t="s">
        <v>36</v>
      </c>
      <c r="K29" t="str">
        <f t="shared" si="0"/>
        <v>Ngozi Adeyemi</v>
      </c>
      <c r="L29" t="str">
        <f t="shared" si="1"/>
        <v>POS</v>
      </c>
      <c r="M29" t="str">
        <f t="shared" si="2"/>
        <v>Chinedu Okoye</v>
      </c>
      <c r="N29" t="s">
        <v>124</v>
      </c>
      <c r="O29" t="s">
        <v>125</v>
      </c>
      <c r="P29"/>
      <c r="Q29">
        <f t="shared" si="3"/>
        <v>58500</v>
      </c>
    </row>
    <row r="30" spans="1:17">
      <c r="A30">
        <v>1052</v>
      </c>
      <c r="B30" t="s">
        <v>141</v>
      </c>
      <c r="C30" t="s">
        <v>88</v>
      </c>
      <c r="D30" t="s">
        <v>103</v>
      </c>
      <c r="E30" t="s">
        <v>51</v>
      </c>
      <c r="F30">
        <v>2</v>
      </c>
      <c r="G30">
        <v>12000</v>
      </c>
      <c r="H30" s="5">
        <v>46204</v>
      </c>
      <c r="I30" t="s">
        <v>73</v>
      </c>
      <c r="J30" t="s">
        <v>86</v>
      </c>
      <c r="K30" t="str">
        <f t="shared" si="0"/>
        <v>Halima Obi</v>
      </c>
      <c r="L30" t="str">
        <f t="shared" si="1"/>
        <v>POS</v>
      </c>
      <c r="M30" t="str">
        <f t="shared" si="2"/>
        <v>Chinedu Okoye</v>
      </c>
      <c r="N30" t="s">
        <v>91</v>
      </c>
      <c r="O30" t="s">
        <v>92</v>
      </c>
      <c r="Q30">
        <f t="shared" si="3"/>
        <v>24000</v>
      </c>
    </row>
    <row r="31" spans="1:17">
      <c r="A31">
        <v>1087</v>
      </c>
      <c r="B31" t="s">
        <v>142</v>
      </c>
      <c r="C31" t="s">
        <v>98</v>
      </c>
      <c r="D31" t="s">
        <v>99</v>
      </c>
      <c r="E31" t="s">
        <v>51</v>
      </c>
      <c r="F31">
        <v>4</v>
      </c>
      <c r="G31">
        <v>13500</v>
      </c>
      <c r="H31" s="5">
        <v>46107</v>
      </c>
      <c r="I31" t="s">
        <v>128</v>
      </c>
      <c r="J31" t="s">
        <v>68</v>
      </c>
      <c r="K31" t="str">
        <f t="shared" si="0"/>
        <v>Segun Lawal</v>
      </c>
      <c r="L31" t="str">
        <f t="shared" si="1"/>
        <v>BANK TRANSFER</v>
      </c>
      <c r="M31" t="str">
        <f t="shared" si="2"/>
        <v>Tobi Adewale</v>
      </c>
      <c r="N31" t="s">
        <v>100</v>
      </c>
      <c r="O31" t="s">
        <v>101</v>
      </c>
      <c r="Q31">
        <f t="shared" si="3"/>
        <v>54000</v>
      </c>
    </row>
    <row r="32" spans="1:17">
      <c r="A32">
        <v>1062</v>
      </c>
      <c r="B32" t="s">
        <v>143</v>
      </c>
      <c r="C32" t="s">
        <v>64</v>
      </c>
      <c r="D32" t="s">
        <v>122</v>
      </c>
      <c r="E32" t="s">
        <v>34</v>
      </c>
      <c r="F32">
        <v>4</v>
      </c>
      <c r="G32">
        <v>21000</v>
      </c>
      <c r="H32" s="5">
        <v>46189</v>
      </c>
      <c r="I32" t="s">
        <v>123</v>
      </c>
      <c r="J32" t="s">
        <v>90</v>
      </c>
      <c r="K32" t="str">
        <f t="shared" si="0"/>
        <v>Chukwuemeka Musa</v>
      </c>
      <c r="L32" t="str">
        <f t="shared" si="1"/>
        <v>CASH</v>
      </c>
      <c r="M32" t="str">
        <f t="shared" si="2"/>
        <v>Rasheedat Bello</v>
      </c>
      <c r="N32" t="s">
        <v>69</v>
      </c>
      <c r="O32" t="s">
        <v>70</v>
      </c>
      <c r="Q32">
        <f t="shared" si="3"/>
        <v>84000</v>
      </c>
    </row>
    <row r="33" spans="1:17">
      <c r="A33">
        <v>1058</v>
      </c>
      <c r="B33" t="s">
        <v>144</v>
      </c>
      <c r="C33" t="s">
        <v>32</v>
      </c>
      <c r="D33" t="s">
        <v>65</v>
      </c>
      <c r="E33" t="s">
        <v>66</v>
      </c>
      <c r="F33">
        <v>4</v>
      </c>
      <c r="G33">
        <v>5000</v>
      </c>
      <c r="H33" s="5">
        <v>46135</v>
      </c>
      <c r="I33" t="s">
        <v>95</v>
      </c>
      <c r="J33" t="s">
        <v>90</v>
      </c>
      <c r="K33" t="str">
        <f t="shared" si="0"/>
        <v>Uche Okafor</v>
      </c>
      <c r="L33" t="str">
        <f t="shared" si="1"/>
        <v>POS</v>
      </c>
      <c r="M33" t="str">
        <f t="shared" si="2"/>
        <v>Rasheedat Bello</v>
      </c>
      <c r="N33" t="s">
        <v>37</v>
      </c>
      <c r="O33" t="s">
        <v>38</v>
      </c>
      <c r="Q33">
        <f t="shared" si="3"/>
        <v>20000</v>
      </c>
    </row>
    <row r="34" spans="1:17">
      <c r="A34">
        <v>1036</v>
      </c>
      <c r="B34" t="s">
        <v>139</v>
      </c>
      <c r="C34" t="s">
        <v>121</v>
      </c>
      <c r="D34" t="s">
        <v>99</v>
      </c>
      <c r="E34" t="s">
        <v>51</v>
      </c>
      <c r="F34">
        <v>2</v>
      </c>
      <c r="G34">
        <v>13500</v>
      </c>
      <c r="H34" s="5">
        <v>46079</v>
      </c>
      <c r="I34" t="s">
        <v>128</v>
      </c>
      <c r="J34" t="s">
        <v>82</v>
      </c>
      <c r="K34" t="str">
        <f t="shared" si="0"/>
        <v>Tunde Lawal</v>
      </c>
      <c r="L34" t="str">
        <f t="shared" si="1"/>
        <v>BANK TRANSFER</v>
      </c>
      <c r="M34" t="str">
        <f t="shared" si="2"/>
        <v>Chinedu Okoye</v>
      </c>
      <c r="N34" t="s">
        <v>124</v>
      </c>
      <c r="O34" t="s">
        <v>125</v>
      </c>
      <c r="Q34">
        <f t="shared" si="3"/>
        <v>27000</v>
      </c>
    </row>
    <row r="35" spans="1:17">
      <c r="A35">
        <v>1050</v>
      </c>
      <c r="B35" t="s">
        <v>145</v>
      </c>
      <c r="C35" t="s">
        <v>98</v>
      </c>
      <c r="D35" t="s">
        <v>103</v>
      </c>
      <c r="E35" t="s">
        <v>51</v>
      </c>
      <c r="F35">
        <v>1</v>
      </c>
      <c r="G35">
        <v>12000</v>
      </c>
      <c r="H35" s="5">
        <v>46245</v>
      </c>
      <c r="I35" t="s">
        <v>128</v>
      </c>
      <c r="J35" t="s">
        <v>90</v>
      </c>
      <c r="K35" t="str">
        <f t="shared" si="0"/>
        <v>Kemi Lawal</v>
      </c>
      <c r="L35" t="str">
        <f t="shared" si="1"/>
        <v>BANK TRANSFER</v>
      </c>
      <c r="M35" t="str">
        <f t="shared" si="2"/>
        <v>Rasheedat Bello</v>
      </c>
      <c r="N35" t="s">
        <v>100</v>
      </c>
      <c r="O35" t="s">
        <v>101</v>
      </c>
      <c r="Q35">
        <f t="shared" ref="Q35:Q66" si="4">IF(OR(F35="",G35=""),"",F35*G35)</f>
        <v>12000</v>
      </c>
    </row>
    <row r="36" spans="1:17">
      <c r="A36">
        <v>1015</v>
      </c>
      <c r="B36" t="s">
        <v>146</v>
      </c>
      <c r="C36" t="s">
        <v>109</v>
      </c>
      <c r="D36" t="s">
        <v>33</v>
      </c>
      <c r="E36" t="s">
        <v>34</v>
      </c>
      <c r="F36">
        <v>2</v>
      </c>
      <c r="G36">
        <v>19500</v>
      </c>
      <c r="H36" s="5">
        <v>46072</v>
      </c>
      <c r="I36" t="s">
        <v>76</v>
      </c>
      <c r="J36" t="s">
        <v>82</v>
      </c>
      <c r="K36" t="str">
        <f t="shared" si="0"/>
        <v>Chidinma Adeyemi</v>
      </c>
      <c r="L36" t="str">
        <f t="shared" si="1"/>
        <v>POS</v>
      </c>
      <c r="M36" t="str">
        <f t="shared" si="2"/>
        <v>Chinedu Okoye</v>
      </c>
      <c r="N36" t="s">
        <v>111</v>
      </c>
      <c r="O36" t="s">
        <v>112</v>
      </c>
      <c r="Q36">
        <f t="shared" si="4"/>
        <v>39000</v>
      </c>
    </row>
    <row r="37" spans="1:17">
      <c r="A37">
        <v>1082</v>
      </c>
      <c r="B37" t="s">
        <v>147</v>
      </c>
      <c r="C37" t="s">
        <v>98</v>
      </c>
      <c r="D37" t="s">
        <v>115</v>
      </c>
      <c r="E37" t="s">
        <v>34</v>
      </c>
      <c r="F37">
        <v>2</v>
      </c>
      <c r="G37">
        <v>16500</v>
      </c>
      <c r="H37" s="5">
        <v>46221</v>
      </c>
      <c r="I37" t="s">
        <v>116</v>
      </c>
      <c r="J37" t="s">
        <v>44</v>
      </c>
      <c r="K37" t="str">
        <f t="shared" si="0"/>
        <v>Ibrahim Okafor</v>
      </c>
      <c r="L37" t="str">
        <f t="shared" si="1"/>
        <v>CARD</v>
      </c>
      <c r="M37" t="str">
        <f t="shared" si="2"/>
        <v>Tobi Adewale</v>
      </c>
      <c r="N37" t="s">
        <v>100</v>
      </c>
      <c r="O37" t="s">
        <v>101</v>
      </c>
      <c r="Q37">
        <f t="shared" si="4"/>
        <v>33000</v>
      </c>
    </row>
    <row r="38" spans="1:17">
      <c r="A38">
        <v>1083</v>
      </c>
      <c r="B38" t="s">
        <v>148</v>
      </c>
      <c r="C38" t="s">
        <v>88</v>
      </c>
      <c r="D38" t="s">
        <v>78</v>
      </c>
      <c r="E38" t="s">
        <v>42</v>
      </c>
      <c r="F38">
        <v>2</v>
      </c>
      <c r="G38">
        <v>17500</v>
      </c>
      <c r="H38" s="5">
        <v>46212</v>
      </c>
      <c r="I38" t="s">
        <v>123</v>
      </c>
      <c r="J38" t="s">
        <v>90</v>
      </c>
      <c r="K38" t="str">
        <f t="shared" si="0"/>
        <v>Chiamaka Adeyemi</v>
      </c>
      <c r="L38" t="str">
        <f t="shared" si="1"/>
        <v>CASH</v>
      </c>
      <c r="M38" t="str">
        <f t="shared" si="2"/>
        <v>Rasheedat Bello</v>
      </c>
      <c r="N38" t="s">
        <v>91</v>
      </c>
      <c r="O38" t="s">
        <v>92</v>
      </c>
      <c r="Q38">
        <f t="shared" si="4"/>
        <v>35000</v>
      </c>
    </row>
    <row r="39" spans="1:17">
      <c r="A39">
        <v>1001</v>
      </c>
      <c r="B39" t="s">
        <v>149</v>
      </c>
      <c r="C39" t="s">
        <v>64</v>
      </c>
      <c r="D39" t="s">
        <v>103</v>
      </c>
      <c r="E39" t="s">
        <v>51</v>
      </c>
      <c r="F39">
        <v>1</v>
      </c>
      <c r="G39">
        <v>12000</v>
      </c>
      <c r="H39" s="5">
        <v>46075</v>
      </c>
      <c r="I39" t="s">
        <v>43</v>
      </c>
      <c r="J39" t="s">
        <v>79</v>
      </c>
      <c r="K39" t="str">
        <f t="shared" si="0"/>
        <v>Ibrahim Okafor</v>
      </c>
      <c r="L39" t="str">
        <f t="shared" si="1"/>
        <v>CASH</v>
      </c>
      <c r="M39" t="str">
        <f t="shared" si="2"/>
        <v>Tobi Adewale</v>
      </c>
      <c r="N39" t="s">
        <v>69</v>
      </c>
      <c r="O39" t="s">
        <v>70</v>
      </c>
      <c r="Q39">
        <f t="shared" si="4"/>
        <v>12000</v>
      </c>
    </row>
    <row r="40" spans="1:17">
      <c r="A40">
        <v>1018</v>
      </c>
      <c r="B40" t="s">
        <v>150</v>
      </c>
      <c r="C40" t="s">
        <v>127</v>
      </c>
      <c r="D40" t="s">
        <v>72</v>
      </c>
      <c r="E40" t="s">
        <v>66</v>
      </c>
      <c r="F40">
        <v>1</v>
      </c>
      <c r="G40">
        <v>5500</v>
      </c>
      <c r="H40" s="5">
        <v>46120</v>
      </c>
      <c r="I40" t="s">
        <v>35</v>
      </c>
      <c r="J40" t="s">
        <v>79</v>
      </c>
      <c r="K40" t="str">
        <f t="shared" si="0"/>
        <v>Ibrahim Nwosu</v>
      </c>
      <c r="L40" t="str">
        <f t="shared" si="1"/>
        <v>BANK TRANSFER</v>
      </c>
      <c r="M40" t="str">
        <f t="shared" si="2"/>
        <v>Tobi Adewale</v>
      </c>
      <c r="N40" t="s">
        <v>129</v>
      </c>
      <c r="O40" t="s">
        <v>84</v>
      </c>
      <c r="Q40">
        <f t="shared" si="4"/>
        <v>5500</v>
      </c>
    </row>
    <row r="41" spans="1:17">
      <c r="A41">
        <v>1026</v>
      </c>
      <c r="B41" t="s">
        <v>151</v>
      </c>
      <c r="C41" t="s">
        <v>49</v>
      </c>
      <c r="D41" t="s">
        <v>103</v>
      </c>
      <c r="E41" t="s">
        <v>51</v>
      </c>
      <c r="F41">
        <v>4</v>
      </c>
      <c r="G41">
        <v>12000</v>
      </c>
      <c r="H41" s="5">
        <v>46131</v>
      </c>
      <c r="I41" t="s">
        <v>95</v>
      </c>
      <c r="J41" t="s">
        <v>79</v>
      </c>
      <c r="K41" t="str">
        <f t="shared" si="0"/>
        <v>Tunde Adeyemi</v>
      </c>
      <c r="L41" t="str">
        <f t="shared" si="1"/>
        <v>POS</v>
      </c>
      <c r="M41" t="str">
        <f t="shared" si="2"/>
        <v>Tobi Adewale</v>
      </c>
      <c r="N41" t="s">
        <v>53</v>
      </c>
      <c r="O41" t="s">
        <v>54</v>
      </c>
      <c r="Q41">
        <f t="shared" si="4"/>
        <v>48000</v>
      </c>
    </row>
    <row r="42" spans="1:17">
      <c r="A42">
        <v>1043</v>
      </c>
      <c r="B42" t="s">
        <v>152</v>
      </c>
      <c r="C42" t="s">
        <v>114</v>
      </c>
      <c r="D42" t="s">
        <v>57</v>
      </c>
      <c r="E42" t="s">
        <v>58</v>
      </c>
      <c r="F42">
        <v>3</v>
      </c>
      <c r="G42">
        <v>27000</v>
      </c>
      <c r="H42" s="5">
        <v>46127</v>
      </c>
      <c r="I42" t="s">
        <v>123</v>
      </c>
      <c r="J42" t="s">
        <v>68</v>
      </c>
      <c r="K42" t="str">
        <f t="shared" si="0"/>
        <v>Zainab Balogun</v>
      </c>
      <c r="L42" t="str">
        <f t="shared" si="1"/>
        <v>CASH</v>
      </c>
      <c r="M42" t="str">
        <f t="shared" si="2"/>
        <v>Tobi Adewale</v>
      </c>
      <c r="N42" t="s">
        <v>117</v>
      </c>
      <c r="O42" t="s">
        <v>118</v>
      </c>
      <c r="Q42">
        <f t="shared" si="4"/>
        <v>81000</v>
      </c>
    </row>
    <row r="43" spans="1:17">
      <c r="A43">
        <v>1072</v>
      </c>
      <c r="B43" t="s">
        <v>153</v>
      </c>
      <c r="C43" t="s">
        <v>121</v>
      </c>
      <c r="D43" t="s">
        <v>103</v>
      </c>
      <c r="E43" t="s">
        <v>51</v>
      </c>
      <c r="F43">
        <v>2</v>
      </c>
      <c r="G43">
        <v>12000</v>
      </c>
      <c r="H43" s="5">
        <v>46084</v>
      </c>
      <c r="I43" t="s">
        <v>110</v>
      </c>
      <c r="J43" t="s">
        <v>36</v>
      </c>
      <c r="K43" t="str">
        <f t="shared" si="0"/>
        <v>Blessing Lawal</v>
      </c>
      <c r="L43" t="str">
        <f t="shared" si="1"/>
        <v>BANK TRANSFER</v>
      </c>
      <c r="M43" t="str">
        <f t="shared" si="2"/>
        <v>Chinedu Okoye</v>
      </c>
      <c r="N43" t="s">
        <v>124</v>
      </c>
      <c r="O43" t="s">
        <v>125</v>
      </c>
      <c r="Q43">
        <f t="shared" si="4"/>
        <v>24000</v>
      </c>
    </row>
    <row r="44" spans="1:17">
      <c r="A44">
        <v>1022</v>
      </c>
      <c r="B44" t="s">
        <v>154</v>
      </c>
      <c r="C44" t="s">
        <v>81</v>
      </c>
      <c r="D44" t="s">
        <v>99</v>
      </c>
      <c r="E44" t="s">
        <v>51</v>
      </c>
      <c r="F44">
        <v>1</v>
      </c>
      <c r="G44">
        <v>13500</v>
      </c>
      <c r="H44" s="5">
        <v>46061</v>
      </c>
      <c r="I44" t="s">
        <v>89</v>
      </c>
      <c r="J44" t="s">
        <v>44</v>
      </c>
      <c r="K44" t="str">
        <f t="shared" si="0"/>
        <v>Amaka Ogundipe</v>
      </c>
      <c r="L44" t="str">
        <f t="shared" si="1"/>
        <v>CASH</v>
      </c>
      <c r="M44" t="str">
        <f t="shared" si="2"/>
        <v>Tobi Adewale</v>
      </c>
      <c r="N44" t="s">
        <v>83</v>
      </c>
      <c r="O44" t="s">
        <v>84</v>
      </c>
      <c r="Q44">
        <f t="shared" si="4"/>
        <v>13500</v>
      </c>
    </row>
    <row r="45" spans="1:17">
      <c r="A45">
        <v>1063</v>
      </c>
      <c r="B45" t="s">
        <v>155</v>
      </c>
      <c r="C45" t="s">
        <v>133</v>
      </c>
      <c r="D45" t="s">
        <v>33</v>
      </c>
      <c r="E45" t="s">
        <v>34</v>
      </c>
      <c r="F45">
        <v>2</v>
      </c>
      <c r="G45">
        <v>19500</v>
      </c>
      <c r="H45" s="5">
        <v>46129</v>
      </c>
      <c r="I45" t="s">
        <v>116</v>
      </c>
      <c r="J45" t="s">
        <v>86</v>
      </c>
      <c r="K45" t="str">
        <f t="shared" si="0"/>
        <v>Oluwaseun Obi</v>
      </c>
      <c r="L45" t="str">
        <f t="shared" si="1"/>
        <v>CARD</v>
      </c>
      <c r="M45" t="str">
        <f t="shared" si="2"/>
        <v>Chinedu Okoye</v>
      </c>
      <c r="N45" t="s">
        <v>134</v>
      </c>
      <c r="O45" t="s">
        <v>135</v>
      </c>
      <c r="Q45">
        <f t="shared" si="4"/>
        <v>39000</v>
      </c>
    </row>
    <row r="46" spans="1:17">
      <c r="A46">
        <v>1078</v>
      </c>
      <c r="B46" t="s">
        <v>156</v>
      </c>
      <c r="C46" t="s">
        <v>49</v>
      </c>
      <c r="D46" t="s">
        <v>122</v>
      </c>
      <c r="E46" t="s">
        <v>34</v>
      </c>
      <c r="F46">
        <v>1</v>
      </c>
      <c r="G46">
        <v>21000</v>
      </c>
      <c r="H46" s="5">
        <v>46187</v>
      </c>
      <c r="I46" t="s">
        <v>73</v>
      </c>
      <c r="J46" t="s">
        <v>44</v>
      </c>
      <c r="K46" t="str">
        <f t="shared" si="0"/>
        <v>Chukwuemeka Bello</v>
      </c>
      <c r="L46" t="str">
        <f t="shared" si="1"/>
        <v>POS</v>
      </c>
      <c r="M46" t="str">
        <f t="shared" si="2"/>
        <v>Tobi Adewale</v>
      </c>
      <c r="N46" t="s">
        <v>53</v>
      </c>
      <c r="O46" t="s">
        <v>54</v>
      </c>
      <c r="Q46">
        <f t="shared" si="4"/>
        <v>21000</v>
      </c>
    </row>
    <row r="47" spans="1:17">
      <c r="A47">
        <v>1051</v>
      </c>
      <c r="B47" t="s">
        <v>157</v>
      </c>
      <c r="C47" t="s">
        <v>56</v>
      </c>
      <c r="D47" t="s">
        <v>57</v>
      </c>
      <c r="E47" t="s">
        <v>58</v>
      </c>
      <c r="F47">
        <v>4</v>
      </c>
      <c r="G47">
        <v>27000</v>
      </c>
      <c r="H47" s="5">
        <v>46154</v>
      </c>
      <c r="I47" t="s">
        <v>43</v>
      </c>
      <c r="J47" t="s">
        <v>36</v>
      </c>
      <c r="K47" t="str">
        <f t="shared" si="0"/>
        <v>Yusuf Yusuf</v>
      </c>
      <c r="L47" t="str">
        <f t="shared" si="1"/>
        <v>CASH</v>
      </c>
      <c r="M47" t="str">
        <f t="shared" si="2"/>
        <v>Chinedu Okoye</v>
      </c>
      <c r="N47" t="s">
        <v>60</v>
      </c>
      <c r="O47" t="s">
        <v>61</v>
      </c>
      <c r="Q47">
        <f t="shared" si="4"/>
        <v>108000</v>
      </c>
    </row>
    <row r="48" spans="1:17">
      <c r="A48">
        <v>1086</v>
      </c>
      <c r="B48" t="s">
        <v>158</v>
      </c>
      <c r="C48" t="s">
        <v>109</v>
      </c>
      <c r="D48" t="s">
        <v>72</v>
      </c>
      <c r="E48" t="s">
        <v>66</v>
      </c>
      <c r="F48">
        <v>2</v>
      </c>
      <c r="G48">
        <v>5500</v>
      </c>
      <c r="H48" s="5">
        <v>46211</v>
      </c>
      <c r="I48" t="s">
        <v>43</v>
      </c>
      <c r="J48" t="s">
        <v>79</v>
      </c>
      <c r="K48" t="str">
        <f t="shared" si="0"/>
        <v>Halima Yusuf</v>
      </c>
      <c r="L48" t="str">
        <f t="shared" si="1"/>
        <v>CASH</v>
      </c>
      <c r="M48" t="str">
        <f t="shared" si="2"/>
        <v>Tobi Adewale</v>
      </c>
      <c r="N48" t="s">
        <v>111</v>
      </c>
      <c r="O48" t="s">
        <v>112</v>
      </c>
      <c r="Q48">
        <f t="shared" si="4"/>
        <v>11000</v>
      </c>
    </row>
    <row r="49" spans="1:17">
      <c r="A49">
        <v>1070</v>
      </c>
      <c r="B49" t="s">
        <v>159</v>
      </c>
      <c r="C49" t="s">
        <v>81</v>
      </c>
      <c r="D49" t="s">
        <v>115</v>
      </c>
      <c r="E49" t="s">
        <v>34</v>
      </c>
      <c r="F49">
        <v>2</v>
      </c>
      <c r="G49">
        <v>16500</v>
      </c>
      <c r="H49" s="5">
        <v>46236</v>
      </c>
      <c r="I49" t="s">
        <v>43</v>
      </c>
      <c r="J49" t="s">
        <v>90</v>
      </c>
      <c r="K49" t="str">
        <f t="shared" si="0"/>
        <v>Adaeze Adeyemi</v>
      </c>
      <c r="L49" t="str">
        <f t="shared" si="1"/>
        <v>CASH</v>
      </c>
      <c r="M49" t="str">
        <f t="shared" si="2"/>
        <v>Rasheedat Bello</v>
      </c>
      <c r="N49" t="s">
        <v>83</v>
      </c>
      <c r="O49" t="s">
        <v>84</v>
      </c>
      <c r="Q49">
        <f t="shared" si="4"/>
        <v>33000</v>
      </c>
    </row>
    <row r="50" spans="1:17">
      <c r="A50">
        <v>1067</v>
      </c>
      <c r="B50" t="s">
        <v>160</v>
      </c>
      <c r="C50" t="s">
        <v>127</v>
      </c>
      <c r="D50" t="s">
        <v>103</v>
      </c>
      <c r="E50" t="s">
        <v>51</v>
      </c>
      <c r="F50">
        <v>2</v>
      </c>
      <c r="G50">
        <v>12000</v>
      </c>
      <c r="H50" s="5">
        <v>46148</v>
      </c>
      <c r="I50" t="s">
        <v>76</v>
      </c>
      <c r="J50" t="s">
        <v>36</v>
      </c>
      <c r="K50" t="str">
        <f t="shared" si="0"/>
        <v>Chukwuemeka Lawal</v>
      </c>
      <c r="L50" t="str">
        <f t="shared" si="1"/>
        <v>POS</v>
      </c>
      <c r="M50" t="str">
        <f t="shared" si="2"/>
        <v>Chinedu Okoye</v>
      </c>
      <c r="N50" t="s">
        <v>129</v>
      </c>
      <c r="O50" t="s">
        <v>84</v>
      </c>
      <c r="Q50">
        <f t="shared" si="4"/>
        <v>24000</v>
      </c>
    </row>
    <row r="51" spans="1:17">
      <c r="A51">
        <v>1016</v>
      </c>
      <c r="B51" t="s">
        <v>161</v>
      </c>
      <c r="C51" t="s">
        <v>81</v>
      </c>
      <c r="D51" t="s">
        <v>65</v>
      </c>
      <c r="E51" t="s">
        <v>66</v>
      </c>
      <c r="F51"/>
      <c r="G51">
        <v>5000</v>
      </c>
      <c r="H51" s="5">
        <v>46178</v>
      </c>
      <c r="I51" t="s">
        <v>95</v>
      </c>
      <c r="J51" t="s">
        <v>86</v>
      </c>
      <c r="K51" t="str">
        <f t="shared" si="0"/>
        <v>Folake Obi</v>
      </c>
      <c r="L51" t="str">
        <f t="shared" si="1"/>
        <v>POS</v>
      </c>
      <c r="M51" t="str">
        <f t="shared" si="2"/>
        <v>Chinedu Okoye</v>
      </c>
      <c r="N51" t="s">
        <v>83</v>
      </c>
      <c r="O51" t="s">
        <v>84</v>
      </c>
      <c r="P51" t="s">
        <v>62</v>
      </c>
      <c r="Q51" t="str">
        <f t="shared" si="4"/>
        <v/>
      </c>
    </row>
    <row r="52" spans="1:17">
      <c r="A52">
        <v>1007</v>
      </c>
      <c r="B52" t="s">
        <v>162</v>
      </c>
      <c r="C52" t="s">
        <v>105</v>
      </c>
      <c r="D52" t="s">
        <v>78</v>
      </c>
      <c r="E52" t="s">
        <v>42</v>
      </c>
      <c r="F52">
        <v>2</v>
      </c>
      <c r="G52">
        <v>17500</v>
      </c>
      <c r="H52" s="5">
        <v>46155</v>
      </c>
      <c r="I52" t="s">
        <v>76</v>
      </c>
      <c r="J52" t="s">
        <v>36</v>
      </c>
      <c r="K52" t="str">
        <f t="shared" si="0"/>
        <v>Blessing Chukwu</v>
      </c>
      <c r="L52" t="str">
        <f t="shared" si="1"/>
        <v>POS</v>
      </c>
      <c r="M52" t="str">
        <f t="shared" si="2"/>
        <v>Chinedu Okoye</v>
      </c>
      <c r="N52" t="s">
        <v>106</v>
      </c>
      <c r="O52" t="s">
        <v>107</v>
      </c>
      <c r="Q52">
        <f t="shared" si="4"/>
        <v>35000</v>
      </c>
    </row>
    <row r="53" spans="1:17">
      <c r="A53">
        <v>1081</v>
      </c>
      <c r="B53" t="s">
        <v>163</v>
      </c>
      <c r="C53" t="s">
        <v>49</v>
      </c>
      <c r="D53" t="s">
        <v>122</v>
      </c>
      <c r="E53" t="s">
        <v>34</v>
      </c>
      <c r="F53">
        <v>1</v>
      </c>
      <c r="G53">
        <v>21000</v>
      </c>
      <c r="H53" s="5">
        <v>46099</v>
      </c>
      <c r="I53" t="s">
        <v>123</v>
      </c>
      <c r="J53" t="s">
        <v>82</v>
      </c>
      <c r="K53" t="str">
        <f t="shared" si="0"/>
        <v>Femi Eze</v>
      </c>
      <c r="L53" t="str">
        <f t="shared" si="1"/>
        <v>CASH</v>
      </c>
      <c r="M53" t="str">
        <f t="shared" si="2"/>
        <v>Chinedu Okoye</v>
      </c>
      <c r="N53" t="s">
        <v>53</v>
      </c>
      <c r="O53" t="s">
        <v>54</v>
      </c>
      <c r="Q53">
        <f t="shared" si="4"/>
        <v>21000</v>
      </c>
    </row>
    <row r="54" spans="1:17">
      <c r="A54">
        <v>1071</v>
      </c>
      <c r="B54" t="s">
        <v>164</v>
      </c>
      <c r="C54" t="s">
        <v>109</v>
      </c>
      <c r="D54" t="s">
        <v>122</v>
      </c>
      <c r="E54" t="s">
        <v>34</v>
      </c>
      <c r="F54">
        <v>2</v>
      </c>
      <c r="G54">
        <v>21000</v>
      </c>
      <c r="H54" s="5">
        <v>46156</v>
      </c>
      <c r="I54" t="s">
        <v>95</v>
      </c>
      <c r="J54" t="s">
        <v>79</v>
      </c>
      <c r="K54" t="str">
        <f t="shared" si="0"/>
        <v>Femi Yusuf</v>
      </c>
      <c r="L54" t="str">
        <f t="shared" si="1"/>
        <v>POS</v>
      </c>
      <c r="M54" t="str">
        <f t="shared" si="2"/>
        <v>Tobi Adewale</v>
      </c>
      <c r="N54" t="s">
        <v>111</v>
      </c>
      <c r="O54" t="s">
        <v>112</v>
      </c>
      <c r="P54"/>
      <c r="Q54">
        <f t="shared" si="4"/>
        <v>42000</v>
      </c>
    </row>
    <row r="55" spans="1:17">
      <c r="A55">
        <v>1025</v>
      </c>
      <c r="B55" t="s">
        <v>165</v>
      </c>
      <c r="C55" t="s">
        <v>98</v>
      </c>
      <c r="D55" t="s">
        <v>72</v>
      </c>
      <c r="E55" t="s">
        <v>66</v>
      </c>
      <c r="F55">
        <v>1</v>
      </c>
      <c r="G55">
        <v>5500</v>
      </c>
      <c r="H55" s="5">
        <v>46097</v>
      </c>
      <c r="I55" t="s">
        <v>89</v>
      </c>
      <c r="J55" t="s">
        <v>44</v>
      </c>
      <c r="K55" t="str">
        <f t="shared" si="0"/>
        <v>Amaka Okafor</v>
      </c>
      <c r="L55" t="str">
        <f t="shared" si="1"/>
        <v>CASH</v>
      </c>
      <c r="M55" t="str">
        <f t="shared" si="2"/>
        <v>Tobi Adewale</v>
      </c>
      <c r="N55" t="s">
        <v>100</v>
      </c>
      <c r="O55" t="s">
        <v>101</v>
      </c>
      <c r="Q55">
        <f t="shared" si="4"/>
        <v>5500</v>
      </c>
    </row>
    <row r="56" spans="1:17">
      <c r="A56">
        <v>1020</v>
      </c>
      <c r="B56" t="s">
        <v>166</v>
      </c>
      <c r="C56" t="s">
        <v>64</v>
      </c>
      <c r="D56" t="s">
        <v>122</v>
      </c>
      <c r="E56" t="s">
        <v>34</v>
      </c>
      <c r="F56">
        <v>4</v>
      </c>
      <c r="G56">
        <v>21000</v>
      </c>
      <c r="H56" s="5">
        <v>46207</v>
      </c>
      <c r="I56" t="s">
        <v>43</v>
      </c>
      <c r="J56" t="s">
        <v>86</v>
      </c>
      <c r="K56" t="str">
        <f t="shared" si="0"/>
        <v>Uche Abubakar</v>
      </c>
      <c r="L56" t="str">
        <f t="shared" si="1"/>
        <v>CASH</v>
      </c>
      <c r="M56" t="str">
        <f t="shared" si="2"/>
        <v>Chinedu Okoye</v>
      </c>
      <c r="N56" t="s">
        <v>69</v>
      </c>
      <c r="O56" t="s">
        <v>70</v>
      </c>
      <c r="Q56">
        <f t="shared" si="4"/>
        <v>84000</v>
      </c>
    </row>
    <row r="57" spans="1:17">
      <c r="A57">
        <v>1077</v>
      </c>
      <c r="B57" t="s">
        <v>167</v>
      </c>
      <c r="C57" t="s">
        <v>121</v>
      </c>
      <c r="D57" t="s">
        <v>65</v>
      </c>
      <c r="E57" t="s">
        <v>66</v>
      </c>
      <c r="F57">
        <v>2</v>
      </c>
      <c r="G57">
        <v>5000</v>
      </c>
      <c r="H57" s="5">
        <v>46106</v>
      </c>
      <c r="I57" t="s">
        <v>89</v>
      </c>
      <c r="J57" t="s">
        <v>82</v>
      </c>
      <c r="K57" t="str">
        <f t="shared" si="0"/>
        <v>Folake Nwosu</v>
      </c>
      <c r="L57" t="str">
        <f t="shared" si="1"/>
        <v>CASH</v>
      </c>
      <c r="M57" t="str">
        <f t="shared" si="2"/>
        <v>Chinedu Okoye</v>
      </c>
      <c r="N57" t="s">
        <v>124</v>
      </c>
      <c r="O57" t="s">
        <v>125</v>
      </c>
      <c r="Q57">
        <f t="shared" si="4"/>
        <v>10000</v>
      </c>
    </row>
    <row r="58" spans="1:17">
      <c r="A58">
        <v>1017</v>
      </c>
      <c r="B58" t="s">
        <v>168</v>
      </c>
      <c r="C58" t="s">
        <v>98</v>
      </c>
      <c r="D58" t="s">
        <v>33</v>
      </c>
      <c r="E58" t="s">
        <v>34</v>
      </c>
      <c r="F58">
        <v>4</v>
      </c>
      <c r="G58">
        <v>19500</v>
      </c>
      <c r="H58" s="5">
        <v>46194</v>
      </c>
      <c r="I58" t="s">
        <v>89</v>
      </c>
      <c r="J58" t="s">
        <v>82</v>
      </c>
      <c r="K58" t="str">
        <f t="shared" si="0"/>
        <v>Amaka Musa</v>
      </c>
      <c r="L58" t="str">
        <f t="shared" si="1"/>
        <v>CASH</v>
      </c>
      <c r="M58" t="str">
        <f t="shared" si="2"/>
        <v>Chinedu Okoye</v>
      </c>
      <c r="N58" t="s">
        <v>100</v>
      </c>
      <c r="O58" t="s">
        <v>101</v>
      </c>
      <c r="Q58">
        <f t="shared" si="4"/>
        <v>78000</v>
      </c>
    </row>
    <row r="59" spans="1:17">
      <c r="A59">
        <v>1066</v>
      </c>
      <c r="B59" t="s">
        <v>169</v>
      </c>
      <c r="C59" t="s">
        <v>64</v>
      </c>
      <c r="D59" t="s">
        <v>50</v>
      </c>
      <c r="E59" t="s">
        <v>51</v>
      </c>
      <c r="F59">
        <v>2</v>
      </c>
      <c r="G59">
        <v>15000</v>
      </c>
      <c r="H59" s="5">
        <v>46105</v>
      </c>
      <c r="I59" t="s">
        <v>116</v>
      </c>
      <c r="J59" t="s">
        <v>82</v>
      </c>
      <c r="K59" t="str">
        <f t="shared" si="0"/>
        <v>Chukwuemeka Balogun</v>
      </c>
      <c r="L59" t="str">
        <f t="shared" si="1"/>
        <v>CARD</v>
      </c>
      <c r="M59" t="str">
        <f t="shared" si="2"/>
        <v>Chinedu Okoye</v>
      </c>
      <c r="N59" t="s">
        <v>69</v>
      </c>
      <c r="O59" t="s">
        <v>70</v>
      </c>
      <c r="Q59">
        <f t="shared" si="4"/>
        <v>30000</v>
      </c>
    </row>
    <row r="60" spans="1:17">
      <c r="A60">
        <v>1055</v>
      </c>
      <c r="B60" t="s">
        <v>170</v>
      </c>
      <c r="C60" t="s">
        <v>40</v>
      </c>
      <c r="D60" t="s">
        <v>50</v>
      </c>
      <c r="E60" t="s">
        <v>51</v>
      </c>
      <c r="F60"/>
      <c r="G60"/>
      <c r="H60" s="5">
        <v>46040</v>
      </c>
      <c r="I60" t="s">
        <v>116</v>
      </c>
      <c r="J60" t="s">
        <v>44</v>
      </c>
      <c r="K60" t="str">
        <f t="shared" si="0"/>
        <v>Chukwuemeka Obi</v>
      </c>
      <c r="L60" t="str">
        <f t="shared" si="1"/>
        <v>CARD</v>
      </c>
      <c r="M60" t="str">
        <f t="shared" si="2"/>
        <v>Tobi Adewale</v>
      </c>
      <c r="N60" t="s">
        <v>45</v>
      </c>
      <c r="O60" t="s">
        <v>46</v>
      </c>
      <c r="P60" t="s">
        <v>171</v>
      </c>
      <c r="Q60" t="str">
        <f t="shared" si="4"/>
        <v/>
      </c>
    </row>
    <row r="61" spans="1:17">
      <c r="A61">
        <v>1045</v>
      </c>
      <c r="B61" t="s">
        <v>172</v>
      </c>
      <c r="C61" t="s">
        <v>88</v>
      </c>
      <c r="D61" t="s">
        <v>99</v>
      </c>
      <c r="E61" t="s">
        <v>51</v>
      </c>
      <c r="F61">
        <v>2</v>
      </c>
      <c r="G61">
        <v>13500</v>
      </c>
      <c r="H61" s="5">
        <v>46247</v>
      </c>
      <c r="I61" t="s">
        <v>116</v>
      </c>
      <c r="J61" t="s">
        <v>68</v>
      </c>
      <c r="K61" t="str">
        <f t="shared" si="0"/>
        <v>Adaeze Abubakar</v>
      </c>
      <c r="L61" t="str">
        <f t="shared" si="1"/>
        <v>CARD</v>
      </c>
      <c r="M61" t="str">
        <f t="shared" si="2"/>
        <v>Tobi Adewale</v>
      </c>
      <c r="N61" t="s">
        <v>91</v>
      </c>
      <c r="O61" t="s">
        <v>92</v>
      </c>
      <c r="Q61">
        <f t="shared" si="4"/>
        <v>27000</v>
      </c>
    </row>
    <row r="62" spans="1:17">
      <c r="A62">
        <v>1010</v>
      </c>
      <c r="B62" t="s">
        <v>173</v>
      </c>
      <c r="C62" t="s">
        <v>98</v>
      </c>
      <c r="D62" t="s">
        <v>57</v>
      </c>
      <c r="E62" t="s">
        <v>58</v>
      </c>
      <c r="F62">
        <v>4</v>
      </c>
      <c r="G62">
        <v>27000</v>
      </c>
      <c r="H62" s="5">
        <v>46186</v>
      </c>
      <c r="I62" t="s">
        <v>110</v>
      </c>
      <c r="J62" t="s">
        <v>36</v>
      </c>
      <c r="K62" t="str">
        <f t="shared" si="0"/>
        <v>Bisi Lawal</v>
      </c>
      <c r="L62" t="str">
        <f t="shared" si="1"/>
        <v>BANK TRANSFER</v>
      </c>
      <c r="M62" t="str">
        <f t="shared" si="2"/>
        <v>Chinedu Okoye</v>
      </c>
      <c r="N62" t="s">
        <v>100</v>
      </c>
      <c r="O62" t="s">
        <v>101</v>
      </c>
      <c r="Q62">
        <f t="shared" si="4"/>
        <v>108000</v>
      </c>
    </row>
    <row r="63" spans="1:17">
      <c r="A63">
        <v>1021</v>
      </c>
      <c r="B63" t="s">
        <v>174</v>
      </c>
      <c r="C63" t="s">
        <v>49</v>
      </c>
      <c r="D63" t="s">
        <v>65</v>
      </c>
      <c r="E63" t="s">
        <v>66</v>
      </c>
      <c r="F63">
        <v>1</v>
      </c>
      <c r="G63">
        <v>5000</v>
      </c>
      <c r="H63" s="5">
        <v>46197</v>
      </c>
      <c r="I63" t="s">
        <v>116</v>
      </c>
      <c r="J63" t="s">
        <v>90</v>
      </c>
      <c r="K63" t="str">
        <f t="shared" si="0"/>
        <v>Chiamaka Adeleke</v>
      </c>
      <c r="L63" t="str">
        <f t="shared" si="1"/>
        <v>CARD</v>
      </c>
      <c r="M63" t="str">
        <f t="shared" si="2"/>
        <v>Rasheedat Bello</v>
      </c>
      <c r="N63" t="s">
        <v>53</v>
      </c>
      <c r="O63" t="s">
        <v>54</v>
      </c>
      <c r="Q63">
        <f t="shared" si="4"/>
        <v>5000</v>
      </c>
    </row>
    <row r="64" spans="1:17">
      <c r="A64">
        <v>1037</v>
      </c>
      <c r="B64" t="s">
        <v>175</v>
      </c>
      <c r="C64" t="s">
        <v>133</v>
      </c>
      <c r="D64" t="s">
        <v>33</v>
      </c>
      <c r="E64" t="s">
        <v>34</v>
      </c>
      <c r="F64">
        <v>2</v>
      </c>
      <c r="G64">
        <v>19500</v>
      </c>
      <c r="H64" s="5">
        <v>46134</v>
      </c>
      <c r="I64" t="s">
        <v>59</v>
      </c>
      <c r="J64" t="s">
        <v>52</v>
      </c>
      <c r="K64" t="str">
        <f t="shared" si="0"/>
        <v>Bisi Nwosu</v>
      </c>
      <c r="L64" t="str">
        <f t="shared" si="1"/>
        <v>CARD</v>
      </c>
      <c r="M64" t="str">
        <f t="shared" si="2"/>
        <v>Rasheedat Bello</v>
      </c>
      <c r="N64" t="s">
        <v>134</v>
      </c>
      <c r="O64" t="s">
        <v>135</v>
      </c>
      <c r="Q64">
        <f t="shared" si="4"/>
        <v>39000</v>
      </c>
    </row>
    <row r="65" spans="1:17">
      <c r="A65">
        <v>1076</v>
      </c>
      <c r="B65" t="s">
        <v>176</v>
      </c>
      <c r="C65" t="s">
        <v>88</v>
      </c>
      <c r="D65" t="s">
        <v>50</v>
      </c>
      <c r="E65" t="s">
        <v>51</v>
      </c>
      <c r="F65">
        <v>1</v>
      </c>
      <c r="G65">
        <v>15000</v>
      </c>
      <c r="H65" s="5">
        <v>46197</v>
      </c>
      <c r="I65" t="s">
        <v>67</v>
      </c>
      <c r="J65" t="s">
        <v>79</v>
      </c>
      <c r="K65" t="str">
        <f t="shared" si="0"/>
        <v>Femi Ogundipe</v>
      </c>
      <c r="L65" t="str">
        <f t="shared" si="1"/>
        <v>CARD</v>
      </c>
      <c r="M65" t="str">
        <f t="shared" si="2"/>
        <v>Tobi Adewale</v>
      </c>
      <c r="N65" t="s">
        <v>91</v>
      </c>
      <c r="O65" t="s">
        <v>92</v>
      </c>
      <c r="P65"/>
      <c r="Q65">
        <f t="shared" si="4"/>
        <v>15000</v>
      </c>
    </row>
    <row r="66" spans="1:17">
      <c r="A66">
        <v>1002</v>
      </c>
      <c r="B66" t="s">
        <v>177</v>
      </c>
      <c r="C66" t="s">
        <v>64</v>
      </c>
      <c r="D66" t="s">
        <v>75</v>
      </c>
      <c r="E66" t="s">
        <v>51</v>
      </c>
      <c r="F66">
        <v>1</v>
      </c>
      <c r="G66">
        <v>14000</v>
      </c>
      <c r="H66" s="5">
        <v>46226</v>
      </c>
      <c r="I66" t="s">
        <v>123</v>
      </c>
      <c r="J66" t="s">
        <v>52</v>
      </c>
      <c r="K66" t="str">
        <f t="shared" si="0"/>
        <v>Chidinma Adeyemi</v>
      </c>
      <c r="L66" t="str">
        <f t="shared" si="1"/>
        <v>CASH</v>
      </c>
      <c r="M66" t="str">
        <f t="shared" si="2"/>
        <v>Rasheedat Bello</v>
      </c>
      <c r="N66" t="s">
        <v>69</v>
      </c>
      <c r="O66" t="s">
        <v>70</v>
      </c>
      <c r="Q66">
        <f t="shared" si="4"/>
        <v>14000</v>
      </c>
    </row>
    <row r="67" spans="1:17">
      <c r="A67">
        <v>1084</v>
      </c>
      <c r="B67" t="s">
        <v>178</v>
      </c>
      <c r="C67" t="s">
        <v>114</v>
      </c>
      <c r="D67" t="s">
        <v>103</v>
      </c>
      <c r="E67" t="s">
        <v>51</v>
      </c>
      <c r="F67">
        <v>1</v>
      </c>
      <c r="G67">
        <v>12000</v>
      </c>
      <c r="H67" s="5">
        <v>46212</v>
      </c>
      <c r="I67" t="s">
        <v>89</v>
      </c>
      <c r="J67" t="s">
        <v>52</v>
      </c>
      <c r="K67" t="str">
        <f>PROPER(TRIM(B67))</f>
        <v>Chiamaka Ogundipe</v>
      </c>
      <c r="L67" t="str">
        <f>UPPER(TRIM(I67))</f>
        <v>CASH</v>
      </c>
      <c r="M67" t="str">
        <f>PROPER(TRIM(J67))</f>
        <v>Rasheedat Bello</v>
      </c>
      <c r="N67" t="s">
        <v>117</v>
      </c>
      <c r="O67" t="s">
        <v>118</v>
      </c>
      <c r="Q67">
        <f t="shared" ref="Q67:Q91" si="5">IF(OR(F67="",G67=""),"",F67*G67)</f>
        <v>12000</v>
      </c>
    </row>
    <row r="68" spans="1:17">
      <c r="A68">
        <v>1059</v>
      </c>
      <c r="B68" t="s">
        <v>179</v>
      </c>
      <c r="C68" t="s">
        <v>56</v>
      </c>
      <c r="D68" t="s">
        <v>65</v>
      </c>
      <c r="E68" t="s">
        <v>66</v>
      </c>
      <c r="F68">
        <v>1</v>
      </c>
      <c r="G68">
        <v>5000</v>
      </c>
      <c r="H68" s="5">
        <v>46041</v>
      </c>
      <c r="I68" t="s">
        <v>89</v>
      </c>
      <c r="J68" t="s">
        <v>86</v>
      </c>
      <c r="K68" t="str">
        <f>PROPER(TRIM(B68))</f>
        <v>Ibrahim Lawal</v>
      </c>
      <c r="L68" t="str">
        <f>UPPER(TRIM(I68))</f>
        <v>CASH</v>
      </c>
      <c r="M68" t="str">
        <f>PROPER(TRIM(J68))</f>
        <v>Chinedu Okoye</v>
      </c>
      <c r="N68" t="s">
        <v>60</v>
      </c>
      <c r="O68" t="s">
        <v>61</v>
      </c>
      <c r="Q68">
        <f t="shared" si="5"/>
        <v>5000</v>
      </c>
    </row>
    <row r="69" spans="1:17">
      <c r="A69">
        <v>1033</v>
      </c>
      <c r="B69" t="s">
        <v>180</v>
      </c>
      <c r="C69" t="s">
        <v>105</v>
      </c>
      <c r="D69" t="s">
        <v>41</v>
      </c>
      <c r="E69" t="s">
        <v>42</v>
      </c>
      <c r="F69">
        <v>1</v>
      </c>
      <c r="G69">
        <v>18500</v>
      </c>
      <c r="H69" s="5">
        <v>46104</v>
      </c>
      <c r="I69" t="s">
        <v>128</v>
      </c>
      <c r="J69" t="s">
        <v>181</v>
      </c>
      <c r="K69" t="str">
        <f>PROPER(TRIM(B69))</f>
        <v>Chiamaka Ogundipe</v>
      </c>
      <c r="L69" t="str">
        <f>UPPER(TRIM(I69))</f>
        <v>BANK TRANSFER</v>
      </c>
      <c r="M69" t="str">
        <f>PROPER(TRIM(J69))</f>
        <v>Rasheedat Bello</v>
      </c>
      <c r="N69" t="s">
        <v>106</v>
      </c>
      <c r="O69" t="s">
        <v>107</v>
      </c>
      <c r="Q69">
        <f t="shared" si="5"/>
        <v>18500</v>
      </c>
    </row>
    <row r="70" spans="1:17">
      <c r="A70">
        <v>1060</v>
      </c>
      <c r="B70" t="s">
        <v>182</v>
      </c>
      <c r="C70" t="s">
        <v>94</v>
      </c>
      <c r="D70" t="s">
        <v>99</v>
      </c>
      <c r="E70" t="s">
        <v>51</v>
      </c>
      <c r="F70"/>
      <c r="G70">
        <v>13500</v>
      </c>
      <c r="H70" s="5">
        <v>46364</v>
      </c>
      <c r="I70" t="s">
        <v>110</v>
      </c>
      <c r="J70" t="s">
        <v>86</v>
      </c>
      <c r="K70" t="str">
        <f>PROPER(TRIM(B70))</f>
        <v>Oluwaseun Adeyemi</v>
      </c>
      <c r="L70" t="str">
        <f>UPPER(TRIM(I70))</f>
        <v>BANK TRANSFER</v>
      </c>
      <c r="M70" t="str">
        <f>PROPER(TRIM(J70))</f>
        <v>Chinedu Okoye</v>
      </c>
      <c r="N70" t="s">
        <v>96</v>
      </c>
      <c r="O70" t="s">
        <v>84</v>
      </c>
      <c r="P70" t="s">
        <v>62</v>
      </c>
      <c r="Q70" t="str">
        <f t="shared" si="5"/>
        <v/>
      </c>
    </row>
    <row r="71" spans="1:17">
      <c r="A71">
        <v>1030</v>
      </c>
      <c r="B71" t="s">
        <v>183</v>
      </c>
      <c r="C71" t="s">
        <v>49</v>
      </c>
      <c r="D71" t="s">
        <v>75</v>
      </c>
      <c r="E71" t="s">
        <v>51</v>
      </c>
      <c r="F71">
        <v>2</v>
      </c>
      <c r="G71">
        <v>14000</v>
      </c>
      <c r="H71" s="5">
        <v>46085</v>
      </c>
      <c r="I71" t="s">
        <v>35</v>
      </c>
      <c r="J71" t="s">
        <v>44</v>
      </c>
      <c r="K71" t="str">
        <f>PROPER(TRIM(B71))</f>
        <v>Zainab Abubakar</v>
      </c>
      <c r="L71" t="str">
        <f>UPPER(TRIM(I71))</f>
        <v>BANK TRANSFER</v>
      </c>
      <c r="M71" t="str">
        <f>PROPER(TRIM(J71))</f>
        <v>Tobi Adewale</v>
      </c>
      <c r="N71" t="s">
        <v>53</v>
      </c>
      <c r="O71" t="s">
        <v>54</v>
      </c>
      <c r="Q71">
        <f t="shared" si="5"/>
        <v>28000</v>
      </c>
    </row>
    <row r="72" spans="1:17">
      <c r="A72">
        <v>1075</v>
      </c>
      <c r="B72" t="s">
        <v>184</v>
      </c>
      <c r="C72" t="s">
        <v>81</v>
      </c>
      <c r="D72" t="s">
        <v>33</v>
      </c>
      <c r="E72" t="s">
        <v>34</v>
      </c>
      <c r="F72">
        <v>2</v>
      </c>
      <c r="G72">
        <v>19500</v>
      </c>
      <c r="H72" s="5">
        <v>46157</v>
      </c>
      <c r="I72" t="s">
        <v>43</v>
      </c>
      <c r="J72" t="s">
        <v>52</v>
      </c>
      <c r="K72" t="str">
        <f>PROPER(TRIM(B72))</f>
        <v>Ngozi Adeyemi</v>
      </c>
      <c r="L72" t="str">
        <f>UPPER(TRIM(I72))</f>
        <v>CASH</v>
      </c>
      <c r="M72" t="str">
        <f>PROPER(TRIM(J72))</f>
        <v>Rasheedat Bello</v>
      </c>
      <c r="N72" t="s">
        <v>83</v>
      </c>
      <c r="O72" t="s">
        <v>84</v>
      </c>
      <c r="Q72">
        <f t="shared" si="5"/>
        <v>39000</v>
      </c>
    </row>
    <row r="73" spans="1:17">
      <c r="A73">
        <v>1064</v>
      </c>
      <c r="B73" t="s">
        <v>185</v>
      </c>
      <c r="C73" t="s">
        <v>98</v>
      </c>
      <c r="D73" t="s">
        <v>122</v>
      </c>
      <c r="E73" t="s">
        <v>34</v>
      </c>
      <c r="F73"/>
      <c r="G73">
        <v>21000</v>
      </c>
      <c r="H73" s="5">
        <v>46054</v>
      </c>
      <c r="I73" t="s">
        <v>116</v>
      </c>
      <c r="J73" t="s">
        <v>86</v>
      </c>
      <c r="K73" t="str">
        <f>PROPER(TRIM(B73))</f>
        <v>Adaeze Ogundipe</v>
      </c>
      <c r="L73" t="str">
        <f>UPPER(TRIM(I73))</f>
        <v>CARD</v>
      </c>
      <c r="M73" t="str">
        <f>PROPER(TRIM(J73))</f>
        <v>Chinedu Okoye</v>
      </c>
      <c r="N73" t="s">
        <v>100</v>
      </c>
      <c r="O73" t="s">
        <v>101</v>
      </c>
      <c r="P73" t="s">
        <v>62</v>
      </c>
      <c r="Q73" t="str">
        <f t="shared" si="5"/>
        <v/>
      </c>
    </row>
    <row r="74" spans="1:17">
      <c r="A74">
        <v>1031</v>
      </c>
      <c r="B74" t="s">
        <v>186</v>
      </c>
      <c r="C74" t="s">
        <v>40</v>
      </c>
      <c r="D74" t="s">
        <v>57</v>
      </c>
      <c r="E74" t="s">
        <v>58</v>
      </c>
      <c r="F74">
        <v>2</v>
      </c>
      <c r="G74">
        <v>27000</v>
      </c>
      <c r="H74" s="5">
        <v>46208</v>
      </c>
      <c r="I74" t="s">
        <v>123</v>
      </c>
      <c r="J74" t="s">
        <v>52</v>
      </c>
      <c r="K74" t="str">
        <f>PROPER(TRIM(B74))</f>
        <v>Halima Bello</v>
      </c>
      <c r="L74" t="str">
        <f>UPPER(TRIM(I74))</f>
        <v>CASH</v>
      </c>
      <c r="M74" t="str">
        <f>PROPER(TRIM(J74))</f>
        <v>Rasheedat Bello</v>
      </c>
      <c r="N74" t="s">
        <v>45</v>
      </c>
      <c r="O74" t="s">
        <v>46</v>
      </c>
      <c r="Q74">
        <f t="shared" si="5"/>
        <v>54000</v>
      </c>
    </row>
    <row r="75" spans="1:17">
      <c r="A75">
        <v>1080</v>
      </c>
      <c r="B75" t="s">
        <v>187</v>
      </c>
      <c r="C75" t="s">
        <v>121</v>
      </c>
      <c r="D75" t="s">
        <v>99</v>
      </c>
      <c r="E75" t="s">
        <v>51</v>
      </c>
      <c r="F75">
        <v>1</v>
      </c>
      <c r="G75">
        <v>13500</v>
      </c>
      <c r="H75" s="5">
        <v>46252</v>
      </c>
      <c r="I75" t="s">
        <v>128</v>
      </c>
      <c r="J75" t="s">
        <v>90</v>
      </c>
      <c r="K75" t="str">
        <f>PROPER(TRIM(B75))</f>
        <v>Chukwuemeka Eze</v>
      </c>
      <c r="L75" t="str">
        <f>UPPER(TRIM(I75))</f>
        <v>BANK TRANSFER</v>
      </c>
      <c r="M75" t="str">
        <f>PROPER(TRIM(J75))</f>
        <v>Rasheedat Bello</v>
      </c>
      <c r="N75" t="s">
        <v>124</v>
      </c>
      <c r="O75" t="s">
        <v>125</v>
      </c>
      <c r="Q75">
        <f t="shared" si="5"/>
        <v>13500</v>
      </c>
    </row>
    <row r="76" spans="1:17">
      <c r="A76">
        <v>1049</v>
      </c>
      <c r="B76" t="s">
        <v>188</v>
      </c>
      <c r="C76" t="s">
        <v>64</v>
      </c>
      <c r="D76" t="s">
        <v>33</v>
      </c>
      <c r="E76" t="s">
        <v>34</v>
      </c>
      <c r="F76">
        <v>3</v>
      </c>
      <c r="G76">
        <v>19500</v>
      </c>
      <c r="H76" s="5">
        <v>46071</v>
      </c>
      <c r="I76" t="s">
        <v>110</v>
      </c>
      <c r="J76" t="s">
        <v>90</v>
      </c>
      <c r="K76" t="str">
        <f>PROPER(TRIM(B76))</f>
        <v>Chiamaka Adeyemi</v>
      </c>
      <c r="L76" t="str">
        <f>UPPER(TRIM(I76))</f>
        <v>BANK TRANSFER</v>
      </c>
      <c r="M76" t="str">
        <f>PROPER(TRIM(J76))</f>
        <v>Rasheedat Bello</v>
      </c>
      <c r="N76" t="s">
        <v>69</v>
      </c>
      <c r="O76" t="s">
        <v>70</v>
      </c>
      <c r="Q76">
        <f t="shared" si="5"/>
        <v>58500</v>
      </c>
    </row>
    <row r="77" spans="1:17">
      <c r="A77">
        <v>1079</v>
      </c>
      <c r="B77" t="s">
        <v>189</v>
      </c>
      <c r="C77" t="s">
        <v>98</v>
      </c>
      <c r="D77" t="s">
        <v>122</v>
      </c>
      <c r="E77" t="s">
        <v>34</v>
      </c>
      <c r="F77">
        <v>2</v>
      </c>
      <c r="G77">
        <v>21000</v>
      </c>
      <c r="H77" s="5">
        <v>46035</v>
      </c>
      <c r="I77" t="s">
        <v>35</v>
      </c>
      <c r="J77" t="s">
        <v>181</v>
      </c>
      <c r="K77" t="str">
        <f>PROPER(TRIM(B77))</f>
        <v>Tunde Eze</v>
      </c>
      <c r="L77" t="str">
        <f>UPPER(TRIM(I77))</f>
        <v>BANK TRANSFER</v>
      </c>
      <c r="M77" t="str">
        <f>PROPER(TRIM(J77))</f>
        <v>Rasheedat Bello</v>
      </c>
      <c r="N77" t="s">
        <v>100</v>
      </c>
      <c r="O77" t="s">
        <v>101</v>
      </c>
      <c r="P77"/>
      <c r="Q77">
        <f t="shared" si="5"/>
        <v>42000</v>
      </c>
    </row>
    <row r="78" spans="1:17">
      <c r="A78">
        <v>1011</v>
      </c>
      <c r="B78" t="s">
        <v>159</v>
      </c>
      <c r="C78" t="s">
        <v>56</v>
      </c>
      <c r="D78" t="s">
        <v>50</v>
      </c>
      <c r="E78" t="s">
        <v>51</v>
      </c>
      <c r="F78">
        <v>1</v>
      </c>
      <c r="G78">
        <v>15000</v>
      </c>
      <c r="H78" s="5">
        <v>46229</v>
      </c>
      <c r="I78" t="s">
        <v>35</v>
      </c>
      <c r="J78" t="s">
        <v>86</v>
      </c>
      <c r="K78" t="str">
        <f>PROPER(TRIM(B78))</f>
        <v>Adaeze Adeyemi</v>
      </c>
      <c r="L78" t="str">
        <f>UPPER(TRIM(I78))</f>
        <v>BANK TRANSFER</v>
      </c>
      <c r="M78" t="str">
        <f>PROPER(TRIM(J78))</f>
        <v>Chinedu Okoye</v>
      </c>
      <c r="N78" t="s">
        <v>60</v>
      </c>
      <c r="O78" t="s">
        <v>61</v>
      </c>
      <c r="Q78">
        <f t="shared" si="5"/>
        <v>15000</v>
      </c>
    </row>
    <row r="79" spans="1:17">
      <c r="A79">
        <v>1023</v>
      </c>
      <c r="B79" t="s">
        <v>190</v>
      </c>
      <c r="C79" t="s">
        <v>127</v>
      </c>
      <c r="D79" t="s">
        <v>103</v>
      </c>
      <c r="E79" t="s">
        <v>51</v>
      </c>
      <c r="F79">
        <v>1</v>
      </c>
      <c r="G79">
        <v>12000</v>
      </c>
      <c r="H79" s="5">
        <v>46128</v>
      </c>
      <c r="I79" t="s">
        <v>128</v>
      </c>
      <c r="J79" t="s">
        <v>68</v>
      </c>
      <c r="K79" t="str">
        <f>PROPER(TRIM(B79))</f>
        <v>Emeka Chukwu</v>
      </c>
      <c r="L79" t="str">
        <f>UPPER(TRIM(I79))</f>
        <v>BANK TRANSFER</v>
      </c>
      <c r="M79" t="str">
        <f>PROPER(TRIM(J79))</f>
        <v>Tobi Adewale</v>
      </c>
      <c r="N79" t="s">
        <v>129</v>
      </c>
      <c r="O79" t="s">
        <v>84</v>
      </c>
      <c r="Q79">
        <f t="shared" si="5"/>
        <v>12000</v>
      </c>
    </row>
    <row r="80" spans="1:17">
      <c r="A80">
        <v>1024</v>
      </c>
      <c r="B80" t="s">
        <v>191</v>
      </c>
      <c r="C80" t="s">
        <v>40</v>
      </c>
      <c r="D80" t="s">
        <v>122</v>
      </c>
      <c r="E80" t="s">
        <v>34</v>
      </c>
      <c r="F80">
        <v>2</v>
      </c>
      <c r="G80">
        <v>21000</v>
      </c>
      <c r="H80" s="5">
        <v>46258</v>
      </c>
      <c r="I80" t="s">
        <v>116</v>
      </c>
      <c r="J80" t="s">
        <v>52</v>
      </c>
      <c r="K80" t="str">
        <f>PROPER(TRIM(B80))</f>
        <v>Kemi Okafor</v>
      </c>
      <c r="L80" t="str">
        <f>UPPER(TRIM(I80))</f>
        <v>CARD</v>
      </c>
      <c r="M80" t="str">
        <f>PROPER(TRIM(J80))</f>
        <v>Rasheedat Bello</v>
      </c>
      <c r="N80" t="s">
        <v>45</v>
      </c>
      <c r="O80" t="s">
        <v>46</v>
      </c>
      <c r="Q80">
        <f t="shared" si="5"/>
        <v>42000</v>
      </c>
    </row>
    <row r="81" spans="1:17">
      <c r="A81">
        <v>1088</v>
      </c>
      <c r="B81" t="s">
        <v>192</v>
      </c>
      <c r="C81" t="s">
        <v>56</v>
      </c>
      <c r="D81" t="s">
        <v>50</v>
      </c>
      <c r="E81" t="s">
        <v>51</v>
      </c>
      <c r="G81">
        <v>15000</v>
      </c>
      <c r="H81" s="5">
        <v>46037</v>
      </c>
      <c r="I81" t="s">
        <v>110</v>
      </c>
      <c r="J81" t="s">
        <v>86</v>
      </c>
      <c r="K81" t="str">
        <f>PROPER(TRIM(B81))</f>
        <v>Femi Abubakar</v>
      </c>
      <c r="L81" t="str">
        <f>UPPER(TRIM(I81))</f>
        <v>BANK TRANSFER</v>
      </c>
      <c r="M81" t="str">
        <f>PROPER(TRIM(J81))</f>
        <v>Chinedu Okoye</v>
      </c>
      <c r="N81" t="s">
        <v>60</v>
      </c>
      <c r="O81" t="s">
        <v>61</v>
      </c>
      <c r="P81" t="s">
        <v>62</v>
      </c>
      <c r="Q81" t="str">
        <f t="shared" si="5"/>
        <v/>
      </c>
    </row>
    <row r="82" spans="1:17">
      <c r="A82">
        <v>1073</v>
      </c>
      <c r="B82" t="s">
        <v>193</v>
      </c>
      <c r="C82" t="s">
        <v>114</v>
      </c>
      <c r="D82" t="s">
        <v>122</v>
      </c>
      <c r="E82" t="s">
        <v>34</v>
      </c>
      <c r="F82"/>
      <c r="G82">
        <v>21000</v>
      </c>
      <c r="H82" s="5">
        <v>46239</v>
      </c>
      <c r="I82" t="s">
        <v>67</v>
      </c>
      <c r="J82" t="s">
        <v>82</v>
      </c>
      <c r="K82" t="str">
        <f>PROPER(TRIM(B82))</f>
        <v>Folake Bello</v>
      </c>
      <c r="L82" t="str">
        <f>UPPER(TRIM(I82))</f>
        <v>CARD</v>
      </c>
      <c r="M82" t="str">
        <f>PROPER(TRIM(J82))</f>
        <v>Chinedu Okoye</v>
      </c>
      <c r="N82" t="s">
        <v>117</v>
      </c>
      <c r="O82" t="s">
        <v>118</v>
      </c>
      <c r="P82" t="s">
        <v>62</v>
      </c>
      <c r="Q82" t="str">
        <f t="shared" si="5"/>
        <v/>
      </c>
    </row>
    <row r="83" spans="1:17">
      <c r="A83">
        <v>1053</v>
      </c>
      <c r="B83" t="s">
        <v>194</v>
      </c>
      <c r="C83" t="s">
        <v>109</v>
      </c>
      <c r="D83" t="s">
        <v>115</v>
      </c>
      <c r="E83" t="s">
        <v>34</v>
      </c>
      <c r="F83">
        <v>1</v>
      </c>
      <c r="G83">
        <v>16500</v>
      </c>
      <c r="H83" s="5">
        <v>46041</v>
      </c>
      <c r="I83" t="s">
        <v>73</v>
      </c>
      <c r="J83" t="s">
        <v>86</v>
      </c>
      <c r="K83" t="str">
        <f>PROPER(TRIM(B83))</f>
        <v>Tunde Adeleke</v>
      </c>
      <c r="L83" t="str">
        <f>UPPER(TRIM(I83))</f>
        <v>POS</v>
      </c>
      <c r="M83" t="str">
        <f>PROPER(TRIM(J83))</f>
        <v>Chinedu Okoye</v>
      </c>
      <c r="N83" t="s">
        <v>111</v>
      </c>
      <c r="O83" t="s">
        <v>112</v>
      </c>
      <c r="Q83">
        <f t="shared" si="5"/>
        <v>16500</v>
      </c>
    </row>
    <row r="84" spans="1:17">
      <c r="A84">
        <v>1068</v>
      </c>
      <c r="B84" t="s">
        <v>195</v>
      </c>
      <c r="C84" t="s">
        <v>94</v>
      </c>
      <c r="D84" t="s">
        <v>75</v>
      </c>
      <c r="E84" t="s">
        <v>51</v>
      </c>
      <c r="F84">
        <v>2</v>
      </c>
      <c r="G84">
        <v>14000</v>
      </c>
      <c r="H84" s="5">
        <v>46239</v>
      </c>
      <c r="I84" t="s">
        <v>128</v>
      </c>
      <c r="J84" t="s">
        <v>52</v>
      </c>
      <c r="K84" t="str">
        <f>PROPER(TRIM(B84))</f>
        <v>Ngozi Balogun</v>
      </c>
      <c r="L84" t="str">
        <f>UPPER(TRIM(I84))</f>
        <v>BANK TRANSFER</v>
      </c>
      <c r="M84" t="str">
        <f>PROPER(TRIM(J84))</f>
        <v>Rasheedat Bello</v>
      </c>
      <c r="N84" t="s">
        <v>96</v>
      </c>
      <c r="O84" t="s">
        <v>84</v>
      </c>
      <c r="Q84">
        <f t="shared" si="5"/>
        <v>28000</v>
      </c>
    </row>
    <row r="85" spans="1:17">
      <c r="A85">
        <v>1032</v>
      </c>
      <c r="B85" t="s">
        <v>196</v>
      </c>
      <c r="C85" t="s">
        <v>56</v>
      </c>
      <c r="D85" t="s">
        <v>33</v>
      </c>
      <c r="E85" t="s">
        <v>34</v>
      </c>
      <c r="F85">
        <v>1</v>
      </c>
      <c r="G85"/>
      <c r="H85" s="5">
        <v>46106</v>
      </c>
      <c r="I85" t="s">
        <v>67</v>
      </c>
      <c r="J85" t="s">
        <v>68</v>
      </c>
      <c r="K85" t="str">
        <f>PROPER(TRIM(B85))</f>
        <v>Emeka Adeyemi</v>
      </c>
      <c r="L85" t="str">
        <f>UPPER(TRIM(I85))</f>
        <v>CARD</v>
      </c>
      <c r="M85" t="str">
        <f>PROPER(TRIM(J85))</f>
        <v>Tobi Adewale</v>
      </c>
      <c r="N85" t="s">
        <v>60</v>
      </c>
      <c r="O85" t="s">
        <v>61</v>
      </c>
      <c r="P85" t="s">
        <v>47</v>
      </c>
      <c r="Q85" t="str">
        <f t="shared" si="5"/>
        <v/>
      </c>
    </row>
    <row r="86" spans="1:17">
      <c r="A86">
        <v>1019</v>
      </c>
      <c r="B86" t="s">
        <v>197</v>
      </c>
      <c r="C86" t="s">
        <v>56</v>
      </c>
      <c r="D86" t="s">
        <v>72</v>
      </c>
      <c r="E86" t="s">
        <v>66</v>
      </c>
      <c r="F86">
        <v>1</v>
      </c>
      <c r="G86">
        <v>5500</v>
      </c>
      <c r="H86" s="5">
        <v>46243</v>
      </c>
      <c r="I86" t="s">
        <v>89</v>
      </c>
      <c r="J86" t="s">
        <v>68</v>
      </c>
      <c r="K86" t="str">
        <f>PROPER(TRIM(B86))</f>
        <v>Bisi Adeyemi</v>
      </c>
      <c r="L86" t="str">
        <f>UPPER(TRIM(I86))</f>
        <v>CASH</v>
      </c>
      <c r="M86" t="str">
        <f>PROPER(TRIM(J86))</f>
        <v>Tobi Adewale</v>
      </c>
      <c r="N86" t="s">
        <v>60</v>
      </c>
      <c r="O86" t="s">
        <v>61</v>
      </c>
      <c r="Q86">
        <f t="shared" si="5"/>
        <v>5500</v>
      </c>
    </row>
    <row r="87" spans="1:17">
      <c r="A87">
        <v>1048</v>
      </c>
      <c r="B87" t="s">
        <v>198</v>
      </c>
      <c r="C87" t="s">
        <v>121</v>
      </c>
      <c r="D87" t="s">
        <v>103</v>
      </c>
      <c r="E87" t="s">
        <v>51</v>
      </c>
      <c r="F87">
        <v>2</v>
      </c>
      <c r="G87">
        <v>12000</v>
      </c>
      <c r="H87" s="5">
        <v>46251</v>
      </c>
      <c r="I87" t="s">
        <v>116</v>
      </c>
      <c r="J87" t="s">
        <v>52</v>
      </c>
      <c r="K87" t="str">
        <f>PROPER(TRIM(B87))</f>
        <v>Adaeze Okonkwo</v>
      </c>
      <c r="L87" t="str">
        <f>UPPER(TRIM(I87))</f>
        <v>CARD</v>
      </c>
      <c r="M87" t="str">
        <f>PROPER(TRIM(J87))</f>
        <v>Rasheedat Bello</v>
      </c>
      <c r="N87" t="s">
        <v>124</v>
      </c>
      <c r="O87" t="s">
        <v>125</v>
      </c>
      <c r="Q87">
        <f t="shared" si="5"/>
        <v>24000</v>
      </c>
    </row>
    <row r="88" spans="1:17">
      <c r="A88">
        <v>1046</v>
      </c>
      <c r="B88" t="s">
        <v>199</v>
      </c>
      <c r="C88" t="s">
        <v>121</v>
      </c>
      <c r="D88" t="s">
        <v>99</v>
      </c>
      <c r="E88" t="s">
        <v>51</v>
      </c>
      <c r="F88">
        <v>2</v>
      </c>
      <c r="G88">
        <v>13500</v>
      </c>
      <c r="H88" s="5">
        <v>46257</v>
      </c>
      <c r="I88" t="s">
        <v>89</v>
      </c>
      <c r="J88" t="s">
        <v>90</v>
      </c>
      <c r="K88" t="str">
        <f>PROPER(TRIM(B88))</f>
        <v>Chidinma Musa</v>
      </c>
      <c r="L88" t="str">
        <f>UPPER(TRIM(I88))</f>
        <v>CASH</v>
      </c>
      <c r="M88" t="str">
        <f>PROPER(TRIM(J88))</f>
        <v>Rasheedat Bello</v>
      </c>
      <c r="N88" t="s">
        <v>124</v>
      </c>
      <c r="O88" t="s">
        <v>125</v>
      </c>
      <c r="Q88">
        <f t="shared" si="5"/>
        <v>27000</v>
      </c>
    </row>
    <row r="89" spans="1:17">
      <c r="A89">
        <v>1038</v>
      </c>
      <c r="B89" t="s">
        <v>200</v>
      </c>
      <c r="C89" t="s">
        <v>133</v>
      </c>
      <c r="D89" t="s">
        <v>65</v>
      </c>
      <c r="E89" t="s">
        <v>66</v>
      </c>
      <c r="F89">
        <v>4</v>
      </c>
      <c r="G89">
        <v>5000</v>
      </c>
      <c r="H89" s="5">
        <v>46200</v>
      </c>
      <c r="I89" t="s">
        <v>35</v>
      </c>
      <c r="J89" t="s">
        <v>52</v>
      </c>
      <c r="K89" t="str">
        <f>PROPER(TRIM(B89))</f>
        <v>Folake Obi</v>
      </c>
      <c r="L89" t="str">
        <f>UPPER(TRIM(I89))</f>
        <v>BANK TRANSFER</v>
      </c>
      <c r="M89" t="str">
        <f>PROPER(TRIM(J89))</f>
        <v>Rasheedat Bello</v>
      </c>
      <c r="N89" t="s">
        <v>134</v>
      </c>
      <c r="O89" t="s">
        <v>135</v>
      </c>
      <c r="Q89">
        <f t="shared" si="5"/>
        <v>20000</v>
      </c>
    </row>
    <row r="90" spans="1:17">
      <c r="A90">
        <v>1008</v>
      </c>
      <c r="B90" t="s">
        <v>201</v>
      </c>
      <c r="C90" t="s">
        <v>56</v>
      </c>
      <c r="D90" t="s">
        <v>41</v>
      </c>
      <c r="E90" t="s">
        <v>42</v>
      </c>
      <c r="F90">
        <v>2</v>
      </c>
      <c r="G90">
        <v>18500</v>
      </c>
      <c r="H90" s="5">
        <v>46199</v>
      </c>
      <c r="I90" t="s">
        <v>67</v>
      </c>
      <c r="J90" t="s">
        <v>44</v>
      </c>
      <c r="K90" t="str">
        <f>PROPER(TRIM(B90))</f>
        <v>Bisi Chukwu</v>
      </c>
      <c r="L90" t="str">
        <f>UPPER(TRIM(I90))</f>
        <v>CARD</v>
      </c>
      <c r="M90" t="str">
        <f>PROPER(TRIM(J90))</f>
        <v>Tobi Adewale</v>
      </c>
      <c r="N90" t="s">
        <v>60</v>
      </c>
      <c r="O90" t="s">
        <v>61</v>
      </c>
      <c r="P90"/>
      <c r="Q90">
        <f t="shared" si="5"/>
        <v>37000</v>
      </c>
    </row>
    <row r="91" spans="1:17">
      <c r="A91">
        <v>1042</v>
      </c>
      <c r="B91" t="s">
        <v>202</v>
      </c>
      <c r="C91" t="s">
        <v>114</v>
      </c>
      <c r="D91" t="s">
        <v>65</v>
      </c>
      <c r="E91" t="s">
        <v>66</v>
      </c>
      <c r="F91">
        <v>4</v>
      </c>
      <c r="G91">
        <v>5000</v>
      </c>
      <c r="H91" s="5">
        <v>46148</v>
      </c>
      <c r="I91" t="s">
        <v>89</v>
      </c>
      <c r="J91" t="s">
        <v>79</v>
      </c>
      <c r="K91" t="str">
        <f>PROPER(TRIM(B91))</f>
        <v>Halima Bello</v>
      </c>
      <c r="L91" t="str">
        <f>UPPER(TRIM(I91))</f>
        <v>CASH</v>
      </c>
      <c r="M91" t="str">
        <f>PROPER(TRIM(J91))</f>
        <v>Tobi Adewale</v>
      </c>
      <c r="N91" t="s">
        <v>117</v>
      </c>
      <c r="O91" t="s">
        <v>118</v>
      </c>
      <c r="P91"/>
      <c r="Q91">
        <f t="shared" si="5"/>
        <v>20000</v>
      </c>
    </row>
    <row r="92" spans="8:8">
      <c r="H92"/>
    </row>
    <row r="93" spans="8:8">
      <c r="H93"/>
    </row>
    <row r="94" spans="8:8">
      <c r="H94"/>
    </row>
    <row r="95" spans="8:8">
      <c r="H95"/>
    </row>
    <row r="96" spans="8:8">
      <c r="H96"/>
    </row>
    <row r="97" spans="8:8">
      <c r="H97"/>
    </row>
    <row r="98" spans="8:8">
      <c r="H98"/>
    </row>
    <row r="99" spans="8:8">
      <c r="H99"/>
    </row>
    <row r="100" spans="8:8">
      <c r="H100"/>
    </row>
    <row r="101" spans="8:8">
      <c r="H101"/>
    </row>
  </sheetData>
  <autoFilter xmlns:etc="http://www.wps.cn/officeDocument/2017/etCustomData" ref="A1:J10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3" sqref="A3:B9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Col="1"/>
  <cols>
    <col min="1" max="1" width="19.1818181818182"/>
    <col min="2" max="2" width="16.7272727272727"/>
  </cols>
  <sheetData>
    <row r="3" spans="1:2">
      <c r="A3" t="s">
        <v>18</v>
      </c>
      <c r="B3" t="s">
        <v>203</v>
      </c>
    </row>
    <row r="4" spans="1:2">
      <c r="A4" t="s">
        <v>66</v>
      </c>
      <c r="B4" s="1">
        <v>124000</v>
      </c>
    </row>
    <row r="5" spans="1:2">
      <c r="A5" t="s">
        <v>58</v>
      </c>
      <c r="B5" s="1">
        <v>432000</v>
      </c>
    </row>
    <row r="6" spans="1:2">
      <c r="A6" t="s">
        <v>34</v>
      </c>
      <c r="B6" s="1">
        <v>1002000</v>
      </c>
    </row>
    <row r="7" spans="1:2">
      <c r="A7" t="s">
        <v>42</v>
      </c>
      <c r="B7" s="1">
        <v>217000</v>
      </c>
    </row>
    <row r="8" spans="1:2">
      <c r="A8" t="s">
        <v>51</v>
      </c>
      <c r="B8" s="1">
        <v>706500</v>
      </c>
    </row>
    <row r="9" spans="1:2">
      <c r="A9" t="s">
        <v>204</v>
      </c>
      <c r="B9" s="1">
        <v>2481500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A3" sqref="A3:B7"/>
      <pivotSelection pane="bottomRight" showHeader="1" extendable="1" r:id="rId1">
        <pivotArea type="all" dataOnly="0" outline="0" fieldPosition="0"/>
      </pivotSelection>
    </sheetView>
  </sheetViews>
  <sheetFormatPr defaultColWidth="8.72727272727273" defaultRowHeight="14.5" outlineLevelRow="6" outlineLevelCol="1"/>
  <cols>
    <col min="1" max="1" width="18.5454545454545"/>
    <col min="2" max="2" width="16.7272727272727"/>
  </cols>
  <sheetData>
    <row r="3" spans="1:2">
      <c r="A3" t="s">
        <v>26</v>
      </c>
      <c r="B3" t="s">
        <v>203</v>
      </c>
    </row>
    <row r="4" spans="1:2">
      <c r="A4" t="s">
        <v>86</v>
      </c>
      <c r="B4">
        <v>1053500</v>
      </c>
    </row>
    <row r="5" spans="1:2">
      <c r="A5" t="s">
        <v>90</v>
      </c>
      <c r="B5">
        <v>767000</v>
      </c>
    </row>
    <row r="6" spans="1:2">
      <c r="A6" t="s">
        <v>205</v>
      </c>
      <c r="B6">
        <v>661000</v>
      </c>
    </row>
    <row r="7" spans="1:2">
      <c r="A7" t="s">
        <v>204</v>
      </c>
      <c r="B7">
        <v>2481500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Instructions</vt:lpstr>
      <vt:lpstr>Raw Data</vt:lpstr>
      <vt:lpstr>PivotTable 1</vt:lpstr>
      <vt:lpstr>PivotTable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Olamide Ajao</cp:lastModifiedBy>
  <cp:revision>0</cp:revision>
  <dcterms:created xsi:type="dcterms:W3CDTF">2026-08-19T18:58:00Z</dcterms:created>
  <dcterms:modified xsi:type="dcterms:W3CDTF">2026-08-20T07:51:51Z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3A016268E726408B885AD24F802B20D5_12</vt:lpwstr>
  </property>
  <property fmtid="{D5CDD505-2E9C-101B-9397-08002B2CF9AE}" pid="3" name="KSOProductBuildVer">
    <vt:lpwstr>2057-12.2.0.23206</vt:lpwstr>
  </property>
</Properties>
</file>